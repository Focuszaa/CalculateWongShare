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novo\Desktop\wongshare\"/>
    </mc:Choice>
  </mc:AlternateContent>
  <bookViews>
    <workbookView xWindow="0" yWindow="0" windowWidth="28800" windowHeight="12435" firstSheet="1" activeTab="1"/>
  </bookViews>
  <sheets>
    <sheet name="ปลดหนี้" sheetId="2" state="hidden" r:id="rId1"/>
    <sheet name="Members" sheetId="15" r:id="rId2"/>
    <sheet name="คำนวน" sheetId="3" r:id="rId3"/>
    <sheet name="รวมวงแชร์" sheetId="4" r:id="rId4"/>
    <sheet name="Pivottable" sheetId="14" r:id="rId5"/>
    <sheet name="เจ้าหนี้" sheetId="20" r:id="rId6"/>
    <sheet name="รวม (แขก)" sheetId="17" r:id="rId7"/>
    <sheet name="ลูกแชร์" sheetId="22" r:id="rId8"/>
    <sheet name="Sheet3" sheetId="23" r:id="rId9"/>
  </sheets>
  <functionGroups builtInGroupCount="18"/>
  <calcPr calcId="15251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17" l="1"/>
  <c r="K24" i="15"/>
  <c r="H24" i="15"/>
  <c r="E24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K21" i="15"/>
  <c r="K19" i="15"/>
  <c r="K17" i="15"/>
  <c r="H17" i="15"/>
  <c r="E13" i="15"/>
  <c r="D13" i="15"/>
  <c r="G5" i="15"/>
  <c r="G10" i="15"/>
  <c r="G11" i="15"/>
  <c r="G9" i="15"/>
  <c r="F8" i="15"/>
  <c r="F7" i="15"/>
  <c r="F6" i="15"/>
  <c r="M3" i="15"/>
  <c r="G4" i="15"/>
  <c r="F4" i="15"/>
  <c r="F5" i="15"/>
  <c r="G3" i="15"/>
  <c r="F3" i="15"/>
  <c r="N62" i="22"/>
  <c r="M62" i="22"/>
  <c r="L62" i="22"/>
  <c r="K62" i="22"/>
  <c r="J62" i="22"/>
  <c r="I62" i="22"/>
  <c r="H62" i="22"/>
  <c r="G62" i="22"/>
  <c r="F62" i="22"/>
  <c r="E62" i="22"/>
  <c r="D62" i="22"/>
  <c r="G4" i="17"/>
  <c r="G5" i="17"/>
  <c r="B26" i="3"/>
  <c r="B23" i="3"/>
  <c r="B25" i="3"/>
  <c r="B21" i="3"/>
  <c r="B20" i="3"/>
  <c r="A100" i="3"/>
  <c r="H51" i="3" l="1"/>
  <c r="E27" i="3"/>
  <c r="R51" i="3"/>
  <c r="P51" i="3"/>
  <c r="O51" i="3"/>
  <c r="N51" i="3"/>
  <c r="L51" i="3"/>
  <c r="K51" i="3"/>
  <c r="J51" i="3"/>
  <c r="Q51" i="3"/>
  <c r="M51" i="3"/>
  <c r="I51" i="3"/>
  <c r="D34" i="22"/>
  <c r="N32" i="22"/>
  <c r="N34" i="22" s="1"/>
  <c r="M32" i="22"/>
  <c r="M34" i="22" s="1"/>
  <c r="L32" i="22"/>
  <c r="L34" i="22" s="1"/>
  <c r="K32" i="22"/>
  <c r="K34" i="22" s="1"/>
  <c r="J32" i="22"/>
  <c r="J34" i="22" s="1"/>
  <c r="I32" i="22"/>
  <c r="I34" i="22" s="1"/>
  <c r="H32" i="22"/>
  <c r="H34" i="22" s="1"/>
  <c r="G32" i="22"/>
  <c r="G34" i="22" s="1"/>
  <c r="F32" i="22"/>
  <c r="F34" i="22" s="1"/>
  <c r="E32" i="22"/>
  <c r="E34" i="22" s="1"/>
  <c r="D16" i="22"/>
  <c r="G16" i="22"/>
  <c r="K16" i="22"/>
  <c r="E16" i="22"/>
  <c r="E14" i="22"/>
  <c r="F14" i="22"/>
  <c r="F16" i="22" s="1"/>
  <c r="G14" i="22"/>
  <c r="H14" i="22"/>
  <c r="H16" i="22" s="1"/>
  <c r="I14" i="22"/>
  <c r="I16" i="22" s="1"/>
  <c r="J14" i="22"/>
  <c r="J16" i="22" s="1"/>
  <c r="K14" i="22"/>
  <c r="L14" i="22"/>
  <c r="L16" i="22" s="1"/>
  <c r="M14" i="22"/>
  <c r="M16" i="22" s="1"/>
  <c r="N14" i="22"/>
  <c r="N16" i="22" s="1"/>
  <c r="G3" i="17" l="1"/>
  <c r="G34" i="17" s="1"/>
  <c r="M3" i="17" l="1"/>
  <c r="M6" i="17"/>
  <c r="M4" i="17"/>
  <c r="P2" i="2" l="1"/>
  <c r="O2" i="2"/>
  <c r="M3" i="2"/>
  <c r="M2" i="2"/>
  <c r="K2" i="2"/>
  <c r="E1" i="3"/>
  <c r="D34" i="2"/>
  <c r="D33" i="2"/>
  <c r="D32" i="2"/>
  <c r="A28" i="2"/>
  <c r="A27" i="2"/>
  <c r="D25" i="2"/>
  <c r="D24" i="2"/>
  <c r="D23" i="2"/>
  <c r="C23" i="2"/>
  <c r="O11" i="2"/>
  <c r="P11" i="2" s="1"/>
  <c r="M11" i="2"/>
  <c r="K11" i="2"/>
  <c r="I11" i="2"/>
  <c r="H22" i="2"/>
  <c r="H23" i="2"/>
  <c r="H24" i="2"/>
  <c r="H25" i="2"/>
  <c r="H26" i="2"/>
  <c r="H27" i="2"/>
  <c r="H28" i="2"/>
  <c r="H29" i="2"/>
  <c r="H30" i="2"/>
  <c r="G30" i="2"/>
  <c r="F30" i="2"/>
  <c r="G29" i="2"/>
  <c r="F29" i="2"/>
  <c r="G28" i="2"/>
  <c r="F28" i="2"/>
  <c r="G27" i="2"/>
  <c r="F27" i="2"/>
  <c r="G26" i="2"/>
  <c r="F26" i="2"/>
  <c r="G25" i="2"/>
  <c r="F25" i="2"/>
  <c r="G24" i="2"/>
  <c r="F24" i="2"/>
  <c r="G23" i="2"/>
  <c r="F23" i="2"/>
  <c r="G22" i="2"/>
  <c r="F22" i="2"/>
  <c r="H21" i="2"/>
  <c r="G21" i="2"/>
  <c r="F21" i="2"/>
  <c r="B19" i="2"/>
  <c r="B21" i="2"/>
  <c r="E3" i="2"/>
  <c r="E12" i="2"/>
  <c r="I3" i="2"/>
  <c r="I4" i="2"/>
  <c r="M4" i="2" s="1"/>
  <c r="I5" i="2"/>
  <c r="M5" i="2" s="1"/>
  <c r="I6" i="2"/>
  <c r="M6" i="2" s="1"/>
  <c r="I7" i="2"/>
  <c r="M7" i="2" s="1"/>
  <c r="I8" i="2"/>
  <c r="M8" i="2" s="1"/>
  <c r="I9" i="2"/>
  <c r="M9" i="2" s="1"/>
  <c r="I10" i="2"/>
  <c r="M10" i="2" s="1"/>
  <c r="I2" i="2"/>
  <c r="K3" i="2"/>
  <c r="K4" i="2"/>
  <c r="K5" i="2"/>
  <c r="K6" i="2"/>
  <c r="K7" i="2"/>
  <c r="K8" i="2"/>
  <c r="K9" i="2"/>
  <c r="K10" i="2"/>
  <c r="D4" i="2"/>
  <c r="D5" i="2"/>
  <c r="D6" i="2"/>
  <c r="D7" i="2"/>
  <c r="D8" i="2"/>
  <c r="D9" i="2"/>
  <c r="D10" i="2"/>
  <c r="D11" i="2"/>
  <c r="D12" i="2"/>
  <c r="D3" i="2"/>
  <c r="E4" i="2"/>
  <c r="E5" i="2"/>
  <c r="E6" i="2"/>
  <c r="E7" i="2"/>
  <c r="E8" i="2"/>
  <c r="E9" i="2"/>
  <c r="E10" i="2"/>
  <c r="E11" i="2"/>
  <c r="F10" i="2" l="1"/>
  <c r="F6" i="2"/>
  <c r="F3" i="2"/>
  <c r="O8" i="2"/>
  <c r="P8" i="2" s="1"/>
  <c r="Q8" i="2" s="1"/>
  <c r="O4" i="2"/>
  <c r="P4" i="2" s="1"/>
  <c r="Q4" i="2" s="1"/>
  <c r="Q2" i="2"/>
  <c r="O7" i="2"/>
  <c r="P7" i="2" s="1"/>
  <c r="Q7" i="2" s="1"/>
  <c r="O3" i="2"/>
  <c r="P3" i="2" s="1"/>
  <c r="Q3" i="2" s="1"/>
  <c r="F11" i="2"/>
  <c r="F7" i="2"/>
  <c r="O10" i="2"/>
  <c r="P10" i="2" s="1"/>
  <c r="Q10" i="2" s="1"/>
  <c r="O6" i="2"/>
  <c r="P6" i="2" s="1"/>
  <c r="Q6" i="2" s="1"/>
  <c r="O9" i="2"/>
  <c r="P9" i="2" s="1"/>
  <c r="Q9" i="2" s="1"/>
  <c r="O5" i="2"/>
  <c r="P5" i="2" s="1"/>
  <c r="Q5" i="2" s="1"/>
  <c r="F5" i="2"/>
  <c r="F9" i="2"/>
  <c r="F8" i="2"/>
  <c r="F4" i="2"/>
  <c r="F12" i="2"/>
  <c r="D13" i="2"/>
  <c r="E13" i="2"/>
</calcChain>
</file>

<file path=xl/sharedStrings.xml><?xml version="1.0" encoding="utf-8"?>
<sst xmlns="http://schemas.openxmlformats.org/spreadsheetml/2006/main" count="309" uniqueCount="113">
  <si>
    <t>เจ้าหนี้</t>
  </si>
  <si>
    <t>แขก</t>
  </si>
  <si>
    <t>หวาน</t>
  </si>
  <si>
    <t>แนนนี่</t>
  </si>
  <si>
    <t>แตงโม</t>
  </si>
  <si>
    <t>นุช</t>
  </si>
  <si>
    <t>ยีน</t>
  </si>
  <si>
    <t>พี่นี</t>
  </si>
  <si>
    <t>แต้ม</t>
  </si>
  <si>
    <t>ปูก้า</t>
  </si>
  <si>
    <t>นุ้ย</t>
  </si>
  <si>
    <t>บี</t>
  </si>
  <si>
    <t>ก้อย</t>
  </si>
  <si>
    <t>จอยอัน</t>
  </si>
  <si>
    <t>ยอดค้าง</t>
  </si>
  <si>
    <t>ประมูลทอง</t>
  </si>
  <si>
    <t>ปลดหนี้ 1</t>
  </si>
  <si>
    <t>ปลดหนี้ 2</t>
  </si>
  <si>
    <t>ท้าว</t>
  </si>
  <si>
    <t>ค่าดูแล</t>
  </si>
  <si>
    <t>เงินที่จะได้</t>
  </si>
  <si>
    <t>เงินที่ต้องจ่าย</t>
  </si>
  <si>
    <t>ชื่อ</t>
  </si>
  <si>
    <t>หักหนี้</t>
  </si>
  <si>
    <t>มือฟรี</t>
  </si>
  <si>
    <t>ยอดที่ต้องจ่ายให้ลูกแชร์</t>
  </si>
  <si>
    <t>รวมเงินที่ได้หักลบแล้วและลดหนี้</t>
  </si>
  <si>
    <t>ได้ลดหนี้</t>
  </si>
  <si>
    <t>variable</t>
  </si>
  <si>
    <t>variable 2</t>
  </si>
  <si>
    <t>งวดแรก</t>
  </si>
  <si>
    <t>รวมทั้งหมดที่ต้องจ่าย</t>
  </si>
  <si>
    <t>รวมดอก</t>
  </si>
  <si>
    <t>เงินที่ได้-เงินที่จ่าย</t>
  </si>
  <si>
    <t>จ่ายลูกแชร์เพิ่มแต่ละงวด</t>
  </si>
  <si>
    <t>xx</t>
  </si>
  <si>
    <t>ทุกคนต้องจ่าย รวมกันต่องวด</t>
  </si>
  <si>
    <t>พี่จอย</t>
  </si>
  <si>
    <t>ฟรีมือท้าว</t>
  </si>
  <si>
    <t>ชื่อวง</t>
  </si>
  <si>
    <t>งวดละเท่าไหร่</t>
  </si>
  <si>
    <t>ค่าดอกต่องวดเพิ่มครั้งละเท่าไหร่</t>
  </si>
  <si>
    <t>จ่ายกี่งวด (ไม่รวมท้าว)</t>
  </si>
  <si>
    <t>ค่าดูแลต่อคน</t>
  </si>
  <si>
    <t>ส่วนลดต่องวด(ท้าวจ่าย)</t>
  </si>
  <si>
    <t>ค่าดอกจ่ายกันเองหลังจากรับแชร์แล้วเท่าไหร่ (ส่วนตาง)</t>
  </si>
  <si>
    <t>หักหนี้เท่าไหร่ต่อคน</t>
  </si>
  <si>
    <t>เงินได้</t>
  </si>
  <si>
    <t>หักหนี้เพิ่ม</t>
  </si>
  <si>
    <t>เงินสุทธิคงเหลือต่อคน</t>
  </si>
  <si>
    <t>Important information</t>
  </si>
  <si>
    <t>No</t>
  </si>
  <si>
    <t>เงินที่ต้องจ่าย+ค่าดูแล</t>
  </si>
  <si>
    <t>กำไร(เงินได้-เงินที่ต้องจ่าย)</t>
  </si>
  <si>
    <t>วันที่</t>
  </si>
  <si>
    <t>จ่าย</t>
  </si>
  <si>
    <t>รายรับ</t>
  </si>
  <si>
    <t>รายจ่าย</t>
  </si>
  <si>
    <t>ยอดสุทธิ</t>
  </si>
  <si>
    <t>รอบกี่วัน</t>
  </si>
  <si>
    <t xml:space="preserve"> </t>
  </si>
  <si>
    <t>รายรับ (มือฟรี)</t>
  </si>
  <si>
    <t>รวมก่อนหักหนี้</t>
  </si>
  <si>
    <t>หมายเหตุ</t>
  </si>
  <si>
    <t>รายละเอียดที่ต้องจ่ายของท้าว</t>
  </si>
  <si>
    <t>ไอติม</t>
  </si>
  <si>
    <t>ปลดหนี้1</t>
  </si>
  <si>
    <t>ปลดหนี้2</t>
  </si>
  <si>
    <t>ปลดหนี้3</t>
  </si>
  <si>
    <t>Row Labels</t>
  </si>
  <si>
    <t>Grand Total</t>
  </si>
  <si>
    <t>คงเหลื่อ</t>
  </si>
  <si>
    <t>วันที่รับเงิน</t>
  </si>
  <si>
    <t>ยอดเงินรับแชร์</t>
  </si>
  <si>
    <t>ยอดดูแล</t>
  </si>
  <si>
    <t>มือตาย</t>
  </si>
  <si>
    <t>คงเหลือ</t>
  </si>
  <si>
    <t>วันที่จ่ายเงิน</t>
  </si>
  <si>
    <t>จำนวนเงินที่จ่าย</t>
  </si>
  <si>
    <t>ระบุวันที่เริ่มวง และ จำนวนรอบที่จะต้องจ่าย</t>
  </si>
  <si>
    <t>มือตาย (ใส่จำนวนงวดที่ยังไม่ได้จ่าย</t>
  </si>
  <si>
    <t>ชือวง</t>
  </si>
  <si>
    <t>ชื่อคน</t>
  </si>
  <si>
    <t>จ่ายเงิน</t>
  </si>
  <si>
    <t>Sum of จ่ายเงิน</t>
  </si>
  <si>
    <t>Sum of มือตาย</t>
  </si>
  <si>
    <t>Sum of หักหนี้</t>
  </si>
  <si>
    <t>Sum of ค่าดูแล</t>
  </si>
  <si>
    <t>รวมวันจ่าย</t>
  </si>
  <si>
    <t>หักรายรับ-รายจ่าย คงเหลือ</t>
  </si>
  <si>
    <t>ยอดคงเหลือ</t>
  </si>
  <si>
    <t>จับคู่</t>
  </si>
  <si>
    <t>ปลดหนี้วงเล็ก</t>
  </si>
  <si>
    <t>เผือก</t>
  </si>
  <si>
    <t>ท้องฟ้า</t>
  </si>
  <si>
    <t>หนึ่ง</t>
  </si>
  <si>
    <t>เก๋</t>
  </si>
  <si>
    <t>ยอดรวม</t>
  </si>
  <si>
    <t>หักค่าดูแล</t>
  </si>
  <si>
    <t>รวมเงินที่ลช ได้รับ</t>
  </si>
  <si>
    <t>รวมเงินที่ ลช ได้รับ</t>
  </si>
  <si>
    <t>ลูกแชร์</t>
  </si>
  <si>
    <t>ท้าวรับเงิน</t>
  </si>
  <si>
    <t>ลูกแชร์รับ</t>
  </si>
  <si>
    <t>ลูกแชร์จ่าย</t>
  </si>
  <si>
    <t>วรรณ</t>
  </si>
  <si>
    <t>พี่ตั้ว</t>
  </si>
  <si>
    <t>อีสวย</t>
  </si>
  <si>
    <t>ต่าย</t>
  </si>
  <si>
    <t>ปลา</t>
  </si>
  <si>
    <t>อิ๋ว</t>
  </si>
  <si>
    <t>ไทเกอร์</t>
  </si>
  <si>
    <t>รายได้สุทธิท้าว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</si>
</sst>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[$-F800]dddd\,\ mmmm\ dd\,\ yyyy"/>
    <numFmt numFmtId="167" formatCode="mm/dd/yyyy"/>
    <numFmt numFmtId="168" formatCode="dd/mm/yyyy"/>
  </numFmts>
  <fonts count="13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charset val="22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5" tint="-0.249977111117893"/>
      <name val="Calibri"/>
      <family val="2"/>
      <charset val="222"/>
      <scheme val="minor"/>
    </font>
    <font>
      <b/>
      <sz val="11"/>
      <color theme="1"/>
      <name val="Calibri"/>
      <family val="2"/>
      <charset val="222"/>
      <scheme val="minor"/>
    </font>
    <font>
      <sz val="11"/>
      <color theme="8"/>
      <name val="Calibri"/>
      <family val="2"/>
      <charset val="22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164" fontId="0" fillId="0" borderId="0" xfId="1" applyFont="1"/>
    <xf numFmtId="164" fontId="0" fillId="0" borderId="0" xfId="0" applyNumberFormat="1"/>
    <xf numFmtId="0" fontId="0" fillId="0" borderId="0" xfId="0" applyBorder="1"/>
    <xf numFmtId="0" fontId="0" fillId="0" borderId="3" xfId="0" applyBorder="1"/>
    <xf numFmtId="2" fontId="0" fillId="0" borderId="1" xfId="1" applyNumberFormat="1" applyFont="1" applyBorder="1"/>
    <xf numFmtId="2" fontId="0" fillId="0" borderId="1" xfId="0" applyNumberFormat="1" applyBorder="1"/>
    <xf numFmtId="2" fontId="0" fillId="0" borderId="1" xfId="0" applyNumberFormat="1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165" fontId="0" fillId="0" borderId="1" xfId="0" applyNumberFormat="1" applyBorder="1"/>
    <xf numFmtId="0" fontId="2" fillId="0" borderId="0" xfId="0" applyFont="1"/>
    <xf numFmtId="0" fontId="4" fillId="0" borderId="0" xfId="0" applyFont="1" applyFill="1" applyBorder="1" applyAlignmen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4" fillId="3" borderId="1" xfId="0" applyFont="1" applyFill="1" applyBorder="1" applyAlignment="1"/>
    <xf numFmtId="2" fontId="0" fillId="0" borderId="0" xfId="0" applyNumberFormat="1"/>
    <xf numFmtId="0" fontId="0" fillId="6" borderId="1" xfId="0" applyFill="1" applyBorder="1"/>
    <xf numFmtId="0" fontId="2" fillId="4" borderId="1" xfId="0" applyFont="1" applyFill="1" applyBorder="1" applyAlignment="1">
      <alignment horizontal="center" wrapText="1"/>
    </xf>
    <xf numFmtId="0" fontId="0" fillId="0" borderId="0" xfId="0" applyFill="1" applyAlignment="1"/>
    <xf numFmtId="0" fontId="0" fillId="0" borderId="1" xfId="0" applyBorder="1" applyAlignment="1">
      <alignment horizontal="right"/>
    </xf>
    <xf numFmtId="1" fontId="0" fillId="0" borderId="1" xfId="0" applyNumberFormat="1" applyBorder="1" applyAlignment="1">
      <alignment horizontal="right"/>
    </xf>
    <xf numFmtId="0" fontId="0" fillId="0" borderId="0" xfId="0" applyNumberFormat="1"/>
    <xf numFmtId="0" fontId="7" fillId="0" borderId="1" xfId="0" applyFont="1" applyBorder="1"/>
    <xf numFmtId="0" fontId="0" fillId="0" borderId="3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2" fontId="0" fillId="0" borderId="1" xfId="0" applyNumberFormat="1" applyBorder="1" applyAlignment="1">
      <alignment horizontal="right"/>
    </xf>
    <xf numFmtId="164" fontId="0" fillId="0" borderId="1" xfId="1" applyFont="1" applyBorder="1"/>
    <xf numFmtId="164" fontId="0" fillId="0" borderId="1" xfId="1" applyFont="1" applyBorder="1" applyAlignment="1">
      <alignment horizontal="right"/>
    </xf>
    <xf numFmtId="165" fontId="0" fillId="0" borderId="1" xfId="1" applyNumberFormat="1" applyFont="1" applyBorder="1"/>
    <xf numFmtId="0" fontId="2" fillId="3" borderId="1" xfId="0" applyFont="1" applyFill="1" applyBorder="1" applyAlignment="1">
      <alignment horizontal="center"/>
    </xf>
    <xf numFmtId="0" fontId="11" fillId="0" borderId="8" xfId="0" applyNumberFormat="1" applyFont="1" applyBorder="1"/>
    <xf numFmtId="0" fontId="0" fillId="10" borderId="0" xfId="0" applyFill="1"/>
    <xf numFmtId="164" fontId="0" fillId="10" borderId="0" xfId="1" applyFont="1" applyFill="1"/>
    <xf numFmtId="164" fontId="0" fillId="11" borderId="0" xfId="1" applyFont="1" applyFill="1"/>
    <xf numFmtId="165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1" fillId="0" borderId="8" xfId="0" applyFont="1" applyBorder="1" applyAlignment="1">
      <alignment horizontal="left"/>
    </xf>
    <xf numFmtId="0" fontId="0" fillId="2" borderId="0" xfId="0" applyFill="1"/>
    <xf numFmtId="14" fontId="0" fillId="12" borderId="0" xfId="0" applyNumberFormat="1" applyFill="1" applyBorder="1"/>
    <xf numFmtId="0" fontId="0" fillId="8" borderId="0" xfId="0" applyFill="1"/>
    <xf numFmtId="14" fontId="0" fillId="0" borderId="1" xfId="0" applyNumberFormat="1" applyBorder="1"/>
    <xf numFmtId="14" fontId="0" fillId="0" borderId="0" xfId="0" applyNumberFormat="1" applyBorder="1"/>
    <xf numFmtId="16" fontId="0" fillId="0" borderId="1" xfId="0" applyNumberFormat="1" applyBorder="1"/>
    <xf numFmtId="0" fontId="12" fillId="2" borderId="1" xfId="0" applyFont="1" applyFill="1" applyBorder="1"/>
    <xf numFmtId="0" fontId="12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/>
    <xf numFmtId="0" fontId="0" fillId="0" borderId="1" xfId="0" applyFill="1" applyBorder="1"/>
    <xf numFmtId="0" fontId="0" fillId="0" borderId="0" xfId="0" applyFill="1"/>
    <xf numFmtId="0" fontId="2" fillId="0" borderId="1" xfId="0" applyFont="1" applyBorder="1"/>
    <xf numFmtId="0" fontId="8" fillId="2" borderId="1" xfId="0" applyFont="1" applyFill="1" applyBorder="1"/>
    <xf numFmtId="2" fontId="0" fillId="2" borderId="1" xfId="0" applyNumberFormat="1" applyFill="1" applyBorder="1"/>
    <xf numFmtId="0" fontId="0" fillId="3" borderId="0" xfId="0" applyNumberFormat="1" applyFill="1"/>
    <xf numFmtId="0" fontId="0" fillId="13" borderId="0" xfId="0" applyFill="1"/>
    <xf numFmtId="164" fontId="2" fillId="4" borderId="1" xfId="1" applyFont="1" applyFill="1" applyBorder="1" applyAlignment="1">
      <alignment horizontal="center" wrapText="1"/>
    </xf>
    <xf numFmtId="164" fontId="9" fillId="8" borderId="1" xfId="1" applyFont="1" applyFill="1" applyBorder="1" applyAlignment="1">
      <alignment horizontal="center" wrapText="1"/>
    </xf>
    <xf numFmtId="164" fontId="10" fillId="0" borderId="1" xfId="1" applyFont="1" applyBorder="1"/>
    <xf numFmtId="164" fontId="10" fillId="0" borderId="1" xfId="1" applyFont="1" applyBorder="1" applyAlignment="1">
      <alignment horizontal="center"/>
    </xf>
    <xf numFmtId="164" fontId="0" fillId="0" borderId="1" xfId="1" applyFont="1" applyBorder="1" applyAlignment="1"/>
    <xf numFmtId="164" fontId="0" fillId="0" borderId="1" xfId="1" applyFont="1" applyFill="1" applyBorder="1"/>
    <xf numFmtId="164" fontId="0" fillId="0" borderId="0" xfId="1" applyFont="1" applyFill="1"/>
    <xf numFmtId="164" fontId="12" fillId="0" borderId="1" xfId="1" applyFont="1" applyFill="1" applyBorder="1"/>
    <xf numFmtId="164" fontId="12" fillId="0" borderId="1" xfId="1" applyFont="1" applyBorder="1"/>
    <xf numFmtId="164" fontId="0" fillId="0" borderId="1" xfId="1" applyFont="1" applyBorder="1" applyAlignment="1">
      <alignment horizontal="center"/>
    </xf>
    <xf numFmtId="14" fontId="0" fillId="0" borderId="1" xfId="1" applyNumberFormat="1" applyFont="1" applyFill="1" applyBorder="1"/>
    <xf numFmtId="14" fontId="0" fillId="0" borderId="1" xfId="1" applyNumberFormat="1" applyFont="1" applyBorder="1"/>
    <xf numFmtId="164" fontId="0" fillId="0" borderId="1" xfId="1" applyFont="1" applyBorder="1" applyAlignment="1">
      <alignment horizontal="center" vertical="center" wrapText="1"/>
    </xf>
    <xf numFmtId="14" fontId="0" fillId="2" borderId="1" xfId="1" applyNumberFormat="1" applyFont="1" applyFill="1" applyBorder="1"/>
    <xf numFmtId="164" fontId="0" fillId="2" borderId="1" xfId="1" applyFont="1" applyFill="1" applyBorder="1"/>
    <xf numFmtId="164" fontId="0" fillId="2" borderId="0" xfId="1" applyFont="1" applyFill="1"/>
    <xf numFmtId="164" fontId="12" fillId="2" borderId="1" xfId="1" applyFont="1" applyFill="1" applyBorder="1"/>
    <xf numFmtId="0" fontId="0" fillId="2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164" fontId="0" fillId="0" borderId="6" xfId="1" applyFont="1" applyBorder="1" applyAlignment="1">
      <alignment horizontal="center"/>
    </xf>
    <xf numFmtId="164" fontId="0" fillId="0" borderId="7" xfId="1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164" fontId="0" fillId="0" borderId="6" xfId="1" applyFont="1" applyBorder="1" applyAlignment="1">
      <alignment horizontal="right"/>
    </xf>
    <xf numFmtId="164" fontId="0" fillId="0" borderId="7" xfId="1" applyFont="1" applyBorder="1" applyAlignment="1">
      <alignment horizontal="right"/>
    </xf>
    <xf numFmtId="0" fontId="0" fillId="0" borderId="2" xfId="0" applyBorder="1" applyAlignment="1">
      <alignment horizontal="center"/>
    </xf>
    <xf numFmtId="167" fontId="0" fillId="6" borderId="1" xfId="0" applyNumberFormat="1" applyFill="1" applyBorder="1"/>
    <xf numFmtId="167" fontId="0" fillId="0" borderId="1" xfId="0" applyNumberFormat="1" applyBorder="1"/>
    <xf numFmtId="167" fontId="0" fillId="0" borderId="1" xfId="0" quotePrefix="1" applyNumberFormat="1" applyBorder="1"/>
    <xf numFmtId="168" fontId="0" fillId="0" borderId="3" xfId="0" applyNumberFormat="1" applyBorder="1" applyAlignment="1">
      <alignment horizontal="left" vertical="center"/>
    </xf>
    <xf numFmtId="168" fontId="0" fillId="0" borderId="0" xfId="0" applyNumberFormat="1"/>
    <xf numFmtId="14" fontId="0" fillId="0" borderId="0" xfId="0" pivotButton="1" applyNumberFormat="1"/>
    <xf numFmtId="14" fontId="0" fillId="0" borderId="0" xfId="0" applyNumberFormat="1" applyAlignment="1">
      <alignment horizontal="left"/>
    </xf>
  </cellXfs>
  <cellStyles count="2">
    <cellStyle name="Comma" xfId="1" builtinId="3"/>
    <cellStyle name="Normal" xfId="0" builtinId="0"/>
  </cellStyles>
  <dxfs count="7">
    <dxf>
      <numFmt numFmtId="165" formatCode="[$-F800]dddd\,\ mmmm\ dd\,\ yyyy"/>
    </dxf>
    <dxf>
      <numFmt numFmtId="19" formatCode="m/d/yyyy"/>
    </dxf>
    <dxf>
      <numFmt numFmtId="165" formatCode="[$-F800]dddd\,\ mmmm\ dd\,\ yyyy"/>
    </dxf>
    <dxf>
      <numFmt numFmtId="19" formatCode="m/d/yyyy"/>
    </dxf>
    <dxf>
      <numFmt numFmtId="165" formatCode="[$-F800]dddd\,\ mmmm\ dd\,\ yyyy"/>
    </dxf>
    <dxf>
      <numFmt numFmtId="19" formatCode="m/d/yyyy"/>
    </dxf>
    <dxf>
      <fill>
        <patternFill patternType="solid"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26</xdr:row>
          <xdr:rowOff>133350</xdr:rowOff>
        </xdr:from>
        <xdr:to>
          <xdr:col>1</xdr:col>
          <xdr:colOff>19050</xdr:colOff>
          <xdr:row>36</xdr:row>
          <xdr:rowOff>104775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Calculate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28</xdr:row>
          <xdr:rowOff>9525</xdr:rowOff>
        </xdr:from>
        <xdr:to>
          <xdr:col>0</xdr:col>
          <xdr:colOff>1885950</xdr:colOff>
          <xdr:row>30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Calulatate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31</xdr:row>
          <xdr:rowOff>9525</xdr:rowOff>
        </xdr:from>
        <xdr:to>
          <xdr:col>0</xdr:col>
          <xdr:colOff>2952750</xdr:colOff>
          <xdr:row>33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Owner &amp; Member 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33</xdr:row>
          <xdr:rowOff>171450</xdr:rowOff>
        </xdr:from>
        <xdr:to>
          <xdr:col>0</xdr:col>
          <xdr:colOff>2924175</xdr:colOff>
          <xdr:row>35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28</xdr:row>
          <xdr:rowOff>9525</xdr:rowOff>
        </xdr:from>
        <xdr:to>
          <xdr:col>0</xdr:col>
          <xdr:colOff>2990850</xdr:colOff>
          <xdr:row>30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37</xdr:row>
          <xdr:rowOff>95250</xdr:rowOff>
        </xdr:from>
        <xdr:to>
          <xdr:col>1</xdr:col>
          <xdr:colOff>19050</xdr:colOff>
          <xdr:row>42</xdr:row>
          <xdr:rowOff>0</xdr:rowOff>
        </xdr:to>
        <xdr:sp macro="" textlink="">
          <xdr:nvSpPr>
            <xdr:cNvPr id="3088" name="Group Box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คิดงั่งเจ้ามือ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1724025</xdr:colOff>
          <xdr:row>38</xdr:row>
          <xdr:rowOff>161925</xdr:rowOff>
        </xdr:from>
        <xdr:to>
          <xdr:col>0</xdr:col>
          <xdr:colOff>2800350</xdr:colOff>
          <xdr:row>41</xdr:row>
          <xdr:rowOff>9525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แก้ไขวงแชร์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38</xdr:row>
          <xdr:rowOff>161925</xdr:rowOff>
        </xdr:from>
        <xdr:to>
          <xdr:col>0</xdr:col>
          <xdr:colOff>1581150</xdr:colOff>
          <xdr:row>40</xdr:row>
          <xdr:rowOff>180975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เพิ่มวงแชร์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novo" refreshedDate="43031.610664351851" createdVersion="5" refreshedVersion="5" minRefreshableVersion="3" recordCount="12">
  <cacheSource type="worksheet">
    <worksheetSource ref="A1:H1000" sheet="รวมวงแชร์"/>
  </cacheSource>
  <cacheFields count="8">
    <cacheField name="วันที่" numFmtId="165">
      <sharedItems containsNonDate="0" containsDate="1" containsString="0" containsBlank="1" minDate="2017-10-20T00:00:00" maxDate="2017-12-30T00:00:00" count="40"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m/>
        <d v="2017-11-02T00:00:00" u="1"/>
        <d v="2017-11-24T00:00:00" u="1"/>
        <d v="2017-12-29T00:00:00" u="1"/>
        <d v="2017-11-17T00:00:00" u="1"/>
        <d v="2017-10-31T00:00:00" u="1"/>
        <d v="2017-12-22T00:00:00" u="1"/>
        <d v="2017-11-10T00:00:00" u="1"/>
        <d v="2017-12-15T00:00:00" u="1"/>
        <d v="2017-11-29T00:00:00" u="1"/>
        <d v="2017-11-03T00:00:00" u="1"/>
        <d v="2017-12-08T00:00:00" u="1"/>
        <d v="2017-11-22T00:00:00" u="1"/>
        <d v="2017-12-27T00:00:00" u="1"/>
        <d v="2017-12-01T00:00:00" u="1"/>
        <d v="2017-11-15T00:00:00" u="1"/>
        <d v="2017-12-20T00:00:00" u="1"/>
        <d v="2017-11-08T00:00:00" u="1"/>
        <d v="2017-12-13T00:00:00" u="1"/>
        <d v="2017-11-27T00:00:00" u="1"/>
        <d v="2017-11-01T00:00:00" u="1"/>
        <d v="2017-12-06T00:00:00" u="1"/>
        <d v="2017-11-20T00:00:00" u="1"/>
        <d v="2017-12-25T00:00:00" u="1"/>
        <d v="2017-11-13T00:00:00" u="1"/>
        <d v="2017-12-18T00:00:00" u="1"/>
        <d v="2017-11-06T00:00:00" u="1"/>
        <d v="2017-12-11T00:00:00" u="1"/>
        <d v="2017-12-04T00:00:00" u="1"/>
      </sharedItems>
    </cacheField>
    <cacheField name="ชือวง" numFmtId="0">
      <sharedItems containsBlank="1" count="7">
        <s v="ปลดหนี้1"/>
        <m/>
        <s v="ไอติม" u="1"/>
        <s v="ฟ้าใส2" u="1"/>
        <s v="ฟ้าใส3" u="1"/>
        <s v="ปลดหนี้2" u="1"/>
        <s v="ฟ้าใส" u="1"/>
      </sharedItems>
    </cacheField>
    <cacheField name="ชื่อคน" numFmtId="0">
      <sharedItems containsBlank="1" count="14">
        <s v="ท้าว"/>
        <s v="แนนนี่"/>
        <s v="แขก"/>
        <s v="หวาน"/>
        <s v="แตงโม"/>
        <s v="นุช"/>
        <s v="ยีน"/>
        <m/>
        <s v="ก้อย" u="1"/>
        <s v="พี่นี" u="1"/>
        <s v="นุ้ย" u="1"/>
        <s v="บี" u="1"/>
        <s v="จอยอัน" u="1"/>
        <s v="แต้ม" u="1"/>
      </sharedItems>
    </cacheField>
    <cacheField name="จ่ายเงิน" numFmtId="0">
      <sharedItems containsNonDate="0" containsString="0" containsBlank="1"/>
    </cacheField>
    <cacheField name="ท้าวรับเงิน" numFmtId="0">
      <sharedItems containsString="0" containsBlank="1" containsNumber="1" containsInteger="1" minValue="2500" maxValue="2500"/>
    </cacheField>
    <cacheField name="มือตาย" numFmtId="0">
      <sharedItems containsNonDate="0" containsString="0" containsBlank="1"/>
    </cacheField>
    <cacheField name="หักหนี้" numFmtId="0">
      <sharedItems containsString="0" containsBlank="1" containsNumber="1" containsInteger="1" minValue="-1250" maxValue="-1250"/>
    </cacheField>
    <cacheField name="ค่าดูแล" numFmtId="0">
      <sharedItems containsString="0" containsBlank="1" containsNumber="1" containsInteger="1" minValue="500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m/>
    <n v="2500"/>
    <m/>
    <m/>
    <n v="500"/>
  </r>
  <r>
    <x v="1"/>
    <x v="0"/>
    <x v="1"/>
    <m/>
    <m/>
    <m/>
    <n v="-1250"/>
    <m/>
  </r>
  <r>
    <x v="2"/>
    <x v="0"/>
    <x v="2"/>
    <m/>
    <m/>
    <m/>
    <n v="-1250"/>
    <m/>
  </r>
  <r>
    <x v="3"/>
    <x v="0"/>
    <x v="3"/>
    <m/>
    <m/>
    <m/>
    <n v="-1250"/>
    <m/>
  </r>
  <r>
    <x v="4"/>
    <x v="0"/>
    <x v="4"/>
    <m/>
    <m/>
    <m/>
    <n v="-1250"/>
    <m/>
  </r>
  <r>
    <x v="5"/>
    <x v="0"/>
    <x v="5"/>
    <m/>
    <m/>
    <m/>
    <n v="-1250"/>
    <m/>
  </r>
  <r>
    <x v="6"/>
    <x v="0"/>
    <x v="5"/>
    <m/>
    <m/>
    <m/>
    <n v="-1250"/>
    <m/>
  </r>
  <r>
    <x v="7"/>
    <x v="0"/>
    <x v="6"/>
    <m/>
    <m/>
    <m/>
    <n v="-1250"/>
    <m/>
  </r>
  <r>
    <x v="8"/>
    <x v="0"/>
    <x v="6"/>
    <m/>
    <m/>
    <m/>
    <n v="-1250"/>
    <m/>
  </r>
  <r>
    <x v="9"/>
    <x v="0"/>
    <x v="4"/>
    <m/>
    <m/>
    <m/>
    <n v="-1250"/>
    <m/>
  </r>
  <r>
    <x v="10"/>
    <x v="0"/>
    <x v="4"/>
    <m/>
    <m/>
    <m/>
    <n v="-1250"/>
    <m/>
  </r>
  <r>
    <x v="11"/>
    <x v="1"/>
    <x v="7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E15" firstHeaderRow="0" firstDataRow="1" firstDataCol="1"/>
  <pivotFields count="8">
    <pivotField axis="axisRow"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m="1" x="16"/>
        <item sd="0" m="1" x="31"/>
        <item sd="0" m="1" x="12"/>
        <item sd="0" m="1" x="37"/>
        <item sd="0" m="1" x="35"/>
        <item sd="0" m="1" x="33"/>
        <item sd="0" m="1" x="30"/>
        <item sd="0" m="1" x="39"/>
        <item sd="0" m="1" x="38"/>
        <item sd="0" m="1" x="36"/>
        <item sd="0" m="1" x="34"/>
        <item h="1" x="11"/>
        <item h="1" m="1" x="28"/>
        <item h="1" m="1" x="26"/>
        <item h="1" m="1" x="23"/>
        <item h="1" m="1" x="20"/>
        <item h="1" m="1" x="32"/>
        <item h="1" m="1" x="29"/>
        <item h="1" m="1" x="27"/>
        <item h="1" m="1" x="24"/>
        <item h="1" m="1" x="21"/>
        <item h="1" m="1" x="18"/>
        <item h="1" m="1" x="15"/>
        <item h="1" m="1" x="13"/>
        <item h="1" m="1" x="25"/>
        <item h="1" m="1" x="22"/>
        <item h="1" m="1" x="19"/>
        <item h="1" m="1" x="17"/>
        <item h="1" m="1" x="14"/>
        <item t="default"/>
      </items>
    </pivotField>
    <pivotField axis="axisRow" showAll="0">
      <items count="8">
        <item sd="0" x="0"/>
        <item m="1" x="5"/>
        <item m="1" x="6"/>
        <item m="1" x="2"/>
        <item x="1"/>
        <item m="1" x="3"/>
        <item m="1" x="4"/>
        <item t="default"/>
      </items>
    </pivotField>
    <pivotField axis="axisRow" showAll="0">
      <items count="15">
        <item m="1" x="8"/>
        <item x="2"/>
        <item x="4"/>
        <item m="1" x="13"/>
        <item x="0"/>
        <item x="5"/>
        <item m="1" x="10"/>
        <item x="1"/>
        <item m="1" x="11"/>
        <item m="1" x="9"/>
        <item x="6"/>
        <item x="3"/>
        <item x="7"/>
        <item m="1" x="12"/>
        <item t="default"/>
      </items>
    </pivotField>
    <pivotField dataField="1" showAll="0"/>
    <pivotField showAll="0" defaultSubtotal="0"/>
    <pivotField dataField="1" showAll="0"/>
    <pivotField dataField="1" showAll="0"/>
    <pivotField dataField="1" showAll="0"/>
  </pivotFields>
  <rowFields count="3">
    <field x="0"/>
    <field x="1"/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จ่ายเงิน" fld="3" baseField="1" baseItem="1"/>
    <dataField name="Sum of มือตาย" fld="5" baseField="1" baseItem="1"/>
    <dataField name="Sum of หักหนี้" fld="6" baseField="1" baseItem="1"/>
    <dataField name="Sum of ค่าดูแล" fld="7" baseField="1" baseItem="1"/>
  </dataFields>
  <formats count="4">
    <format dxfId="6">
      <pivotArea collapsedLevelsAreSubtotals="1" fieldPosition="0">
        <references count="2">
          <reference field="4294967294" count="1" selected="0">
            <x v="0"/>
          </reference>
          <reference field="0" count="1">
            <x v="7"/>
          </reference>
        </references>
      </pivotArea>
    </format>
    <format dxfId="5">
      <pivotArea field="0" type="button" dataOnly="0" labelOnly="1" outline="0" axis="axisRow" fieldPosition="0"/>
    </format>
    <format dxfId="3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1" firstHeaderRow="1" firstDataRow="1" firstDataCol="1"/>
  <pivotFields count="8">
    <pivotField showAll="0"/>
    <pivotField axis="axisRow" showAll="0">
      <items count="8">
        <item x="0"/>
        <item m="1" x="5"/>
        <item m="1" x="6"/>
        <item m="1" x="3"/>
        <item m="1" x="4"/>
        <item m="1" x="2"/>
        <item x="1"/>
        <item t="default"/>
      </items>
    </pivotField>
    <pivotField axis="axisRow" showAll="0">
      <items count="15">
        <item sd="0" m="1" x="8"/>
        <item sd="0" x="2"/>
        <item m="1" x="12"/>
        <item sd="0" x="4"/>
        <item sd="0" m="1" x="13"/>
        <item sd="0" x="0"/>
        <item sd="0" x="5"/>
        <item sd="0" m="1" x="10"/>
        <item sd="0" x="1"/>
        <item sd="0" m="1" x="11"/>
        <item sd="0" m="1" x="9"/>
        <item sd="0" x="6"/>
        <item sd="0" x="3"/>
        <item h="1" sd="0" x="7"/>
        <item t="default"/>
      </items>
    </pivotField>
    <pivotField showAll="0"/>
    <pivotField showAll="0" defaultSubtotal="0"/>
    <pivotField showAll="0"/>
    <pivotField dataField="1" showAll="0"/>
    <pivotField showAll="0"/>
  </pivotFields>
  <rowFields count="2">
    <field x="2"/>
    <field x="1"/>
  </rowFields>
  <rowItems count="8">
    <i>
      <x v="1"/>
    </i>
    <i>
      <x v="3"/>
    </i>
    <i>
      <x v="5"/>
    </i>
    <i>
      <x v="6"/>
    </i>
    <i>
      <x v="8"/>
    </i>
    <i>
      <x v="11"/>
    </i>
    <i>
      <x v="12"/>
    </i>
    <i t="grand">
      <x/>
    </i>
  </rowItems>
  <colItems count="1">
    <i/>
  </colItems>
  <dataFields count="1">
    <dataField name="Sum of หักหนี้" fld="6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42"/>
  <sheetViews>
    <sheetView workbookViewId="0">
      <selection activeCell="K27" sqref="K27"/>
    </sheetView>
  </sheetViews>
  <sheetFormatPr defaultRowHeight="15"/>
  <cols>
    <col min="1" max="1" width="22.28515625" bestFit="1" customWidth="1"/>
    <col min="2" max="2" width="10.140625" bestFit="1" customWidth="1"/>
    <col min="3" max="3" width="19.5703125" bestFit="1" customWidth="1"/>
    <col min="5" max="5" width="16.42578125" bestFit="1" customWidth="1"/>
    <col min="6" max="6" width="29.42578125" bestFit="1" customWidth="1"/>
    <col min="7" max="7" width="29.42578125" customWidth="1"/>
    <col min="17" max="17" width="0" hidden="1" customWidth="1"/>
  </cols>
  <sheetData>
    <row r="1" spans="1:17">
      <c r="A1" s="1" t="s">
        <v>22</v>
      </c>
      <c r="B1" s="1" t="s">
        <v>20</v>
      </c>
      <c r="C1" s="1" t="s">
        <v>31</v>
      </c>
      <c r="D1" s="1" t="s">
        <v>23</v>
      </c>
      <c r="E1" s="1" t="s">
        <v>33</v>
      </c>
      <c r="F1" s="1" t="s">
        <v>26</v>
      </c>
      <c r="G1" s="1"/>
      <c r="I1" t="s">
        <v>28</v>
      </c>
      <c r="J1" t="s">
        <v>29</v>
      </c>
      <c r="N1" t="s">
        <v>30</v>
      </c>
      <c r="P1" t="s">
        <v>32</v>
      </c>
    </row>
    <row r="2" spans="1:17">
      <c r="A2" s="1" t="s">
        <v>18</v>
      </c>
      <c r="B2" s="1">
        <v>2500</v>
      </c>
      <c r="C2" s="1"/>
      <c r="D2" s="1"/>
      <c r="E2" s="1"/>
      <c r="F2" s="1"/>
      <c r="G2" s="1"/>
      <c r="I2">
        <f>10-J2</f>
        <v>1</v>
      </c>
      <c r="J2">
        <v>9</v>
      </c>
      <c r="K2">
        <f>J2*L2</f>
        <v>4050</v>
      </c>
      <c r="L2">
        <v>450</v>
      </c>
      <c r="M2">
        <f>400*I2</f>
        <v>400</v>
      </c>
      <c r="N2">
        <v>250</v>
      </c>
      <c r="O2">
        <f>N2+M2+K2</f>
        <v>4700</v>
      </c>
      <c r="P2">
        <f>O2+50</f>
        <v>4750</v>
      </c>
      <c r="Q2">
        <f>P2*-1</f>
        <v>-4750</v>
      </c>
    </row>
    <row r="3" spans="1:17">
      <c r="A3" s="1" t="s">
        <v>35</v>
      </c>
      <c r="B3" s="1">
        <v>5000</v>
      </c>
      <c r="C3" s="1">
        <v>-4750</v>
      </c>
      <c r="D3" s="1">
        <f>1250*-1</f>
        <v>-1250</v>
      </c>
      <c r="E3" s="1">
        <f t="shared" ref="E3:E12" si="0">C3+B3</f>
        <v>250</v>
      </c>
      <c r="F3" s="1">
        <f>E3+D3</f>
        <v>-1000</v>
      </c>
      <c r="G3" s="1"/>
      <c r="I3">
        <f t="shared" ref="I3:I11" si="1">10-J3</f>
        <v>2</v>
      </c>
      <c r="J3">
        <v>8</v>
      </c>
      <c r="K3">
        <f>J3*L3</f>
        <v>3600</v>
      </c>
      <c r="L3">
        <v>450</v>
      </c>
      <c r="M3">
        <f>400*I3</f>
        <v>800</v>
      </c>
      <c r="N3">
        <v>250</v>
      </c>
      <c r="O3">
        <f t="shared" ref="O3:O10" si="2">N3+M3+K3</f>
        <v>4650</v>
      </c>
      <c r="P3">
        <f t="shared" ref="P3:P11" si="3">O3+50</f>
        <v>4700</v>
      </c>
      <c r="Q3">
        <f t="shared" ref="Q3:Q10" si="4">P3*-1</f>
        <v>-4700</v>
      </c>
    </row>
    <row r="4" spans="1:17">
      <c r="A4" s="1" t="s">
        <v>35</v>
      </c>
      <c r="B4" s="1">
        <v>5050</v>
      </c>
      <c r="C4" s="1">
        <v>-4700</v>
      </c>
      <c r="D4" s="1">
        <f t="shared" ref="D4:D12" si="5">1250*-1</f>
        <v>-1250</v>
      </c>
      <c r="E4" s="1">
        <f t="shared" si="0"/>
        <v>350</v>
      </c>
      <c r="F4" s="1">
        <f t="shared" ref="F4:F12" si="6">E4+D4</f>
        <v>-900</v>
      </c>
      <c r="G4" s="1"/>
      <c r="I4">
        <f t="shared" si="1"/>
        <v>3</v>
      </c>
      <c r="J4">
        <v>7</v>
      </c>
      <c r="K4">
        <f t="shared" ref="K4:K11" si="7">J4*L4</f>
        <v>3150</v>
      </c>
      <c r="L4">
        <v>450</v>
      </c>
      <c r="M4">
        <f t="shared" ref="M4:M10" si="8">400*I4</f>
        <v>1200</v>
      </c>
      <c r="N4">
        <v>250</v>
      </c>
      <c r="O4">
        <f t="shared" si="2"/>
        <v>4600</v>
      </c>
      <c r="P4">
        <f t="shared" si="3"/>
        <v>4650</v>
      </c>
      <c r="Q4">
        <f t="shared" si="4"/>
        <v>-4650</v>
      </c>
    </row>
    <row r="5" spans="1:17">
      <c r="A5" s="1" t="s">
        <v>35</v>
      </c>
      <c r="B5" s="1">
        <v>5100</v>
      </c>
      <c r="C5" s="1">
        <v>-4650</v>
      </c>
      <c r="D5" s="1">
        <f t="shared" si="5"/>
        <v>-1250</v>
      </c>
      <c r="E5" s="1">
        <f t="shared" si="0"/>
        <v>450</v>
      </c>
      <c r="F5" s="1">
        <f t="shared" si="6"/>
        <v>-800</v>
      </c>
      <c r="G5" s="1"/>
      <c r="I5">
        <f t="shared" si="1"/>
        <v>4</v>
      </c>
      <c r="J5">
        <v>6</v>
      </c>
      <c r="K5">
        <f t="shared" si="7"/>
        <v>2700</v>
      </c>
      <c r="L5">
        <v>450</v>
      </c>
      <c r="M5">
        <f t="shared" si="8"/>
        <v>1600</v>
      </c>
      <c r="N5">
        <v>250</v>
      </c>
      <c r="O5">
        <f t="shared" si="2"/>
        <v>4550</v>
      </c>
      <c r="P5">
        <f t="shared" si="3"/>
        <v>4600</v>
      </c>
      <c r="Q5">
        <f t="shared" si="4"/>
        <v>-4600</v>
      </c>
    </row>
    <row r="6" spans="1:17">
      <c r="A6" s="1" t="s">
        <v>35</v>
      </c>
      <c r="B6" s="1">
        <v>5150</v>
      </c>
      <c r="C6" s="1">
        <v>-4600</v>
      </c>
      <c r="D6" s="1">
        <f t="shared" si="5"/>
        <v>-1250</v>
      </c>
      <c r="E6" s="1">
        <f t="shared" si="0"/>
        <v>550</v>
      </c>
      <c r="F6" s="1">
        <f t="shared" si="6"/>
        <v>-700</v>
      </c>
      <c r="G6" s="1"/>
      <c r="I6">
        <f t="shared" si="1"/>
        <v>5</v>
      </c>
      <c r="J6">
        <v>5</v>
      </c>
      <c r="K6">
        <f t="shared" si="7"/>
        <v>2250</v>
      </c>
      <c r="L6">
        <v>450</v>
      </c>
      <c r="M6">
        <f t="shared" si="8"/>
        <v>2000</v>
      </c>
      <c r="N6">
        <v>250</v>
      </c>
      <c r="O6">
        <f t="shared" si="2"/>
        <v>4500</v>
      </c>
      <c r="P6">
        <f t="shared" si="3"/>
        <v>4550</v>
      </c>
      <c r="Q6">
        <f t="shared" si="4"/>
        <v>-4550</v>
      </c>
    </row>
    <row r="7" spans="1:17">
      <c r="A7" s="1" t="s">
        <v>35</v>
      </c>
      <c r="B7" s="1">
        <v>5200</v>
      </c>
      <c r="C7" s="1">
        <v>-4550</v>
      </c>
      <c r="D7" s="1">
        <f t="shared" si="5"/>
        <v>-1250</v>
      </c>
      <c r="E7" s="1">
        <f t="shared" si="0"/>
        <v>650</v>
      </c>
      <c r="F7" s="1">
        <f t="shared" si="6"/>
        <v>-600</v>
      </c>
      <c r="G7" s="1"/>
      <c r="I7">
        <f t="shared" si="1"/>
        <v>6</v>
      </c>
      <c r="J7">
        <v>4</v>
      </c>
      <c r="K7">
        <f t="shared" si="7"/>
        <v>1800</v>
      </c>
      <c r="L7">
        <v>450</v>
      </c>
      <c r="M7">
        <f t="shared" si="8"/>
        <v>2400</v>
      </c>
      <c r="N7">
        <v>250</v>
      </c>
      <c r="O7">
        <f t="shared" si="2"/>
        <v>4450</v>
      </c>
      <c r="P7">
        <f t="shared" si="3"/>
        <v>4500</v>
      </c>
      <c r="Q7">
        <f t="shared" si="4"/>
        <v>-4500</v>
      </c>
    </row>
    <row r="8" spans="1:17">
      <c r="A8" s="1" t="s">
        <v>35</v>
      </c>
      <c r="B8" s="1">
        <v>5250</v>
      </c>
      <c r="C8" s="1">
        <v>-4500</v>
      </c>
      <c r="D8" s="1">
        <f t="shared" si="5"/>
        <v>-1250</v>
      </c>
      <c r="E8" s="1">
        <f t="shared" si="0"/>
        <v>750</v>
      </c>
      <c r="F8" s="1">
        <f t="shared" si="6"/>
        <v>-500</v>
      </c>
      <c r="G8" s="1"/>
      <c r="I8">
        <f t="shared" si="1"/>
        <v>7</v>
      </c>
      <c r="J8">
        <v>3</v>
      </c>
      <c r="K8">
        <f t="shared" si="7"/>
        <v>1350</v>
      </c>
      <c r="L8">
        <v>450</v>
      </c>
      <c r="M8">
        <f t="shared" si="8"/>
        <v>2800</v>
      </c>
      <c r="N8">
        <v>250</v>
      </c>
      <c r="O8">
        <f t="shared" si="2"/>
        <v>4400</v>
      </c>
      <c r="P8">
        <f t="shared" si="3"/>
        <v>4450</v>
      </c>
      <c r="Q8">
        <f t="shared" si="4"/>
        <v>-4450</v>
      </c>
    </row>
    <row r="9" spans="1:17">
      <c r="A9" s="1" t="s">
        <v>35</v>
      </c>
      <c r="B9" s="1">
        <v>5300</v>
      </c>
      <c r="C9" s="1">
        <v>-4450</v>
      </c>
      <c r="D9" s="1">
        <f t="shared" si="5"/>
        <v>-1250</v>
      </c>
      <c r="E9" s="1">
        <f t="shared" si="0"/>
        <v>850</v>
      </c>
      <c r="F9" s="1">
        <f t="shared" si="6"/>
        <v>-400</v>
      </c>
      <c r="G9" s="1"/>
      <c r="I9">
        <f t="shared" si="1"/>
        <v>8</v>
      </c>
      <c r="J9">
        <v>2</v>
      </c>
      <c r="K9">
        <f t="shared" si="7"/>
        <v>900</v>
      </c>
      <c r="L9">
        <v>450</v>
      </c>
      <c r="M9">
        <f t="shared" si="8"/>
        <v>3200</v>
      </c>
      <c r="N9">
        <v>250</v>
      </c>
      <c r="O9">
        <f t="shared" si="2"/>
        <v>4350</v>
      </c>
      <c r="P9">
        <f t="shared" si="3"/>
        <v>4400</v>
      </c>
      <c r="Q9">
        <f t="shared" si="4"/>
        <v>-4400</v>
      </c>
    </row>
    <row r="10" spans="1:17">
      <c r="A10" s="1" t="s">
        <v>35</v>
      </c>
      <c r="B10" s="1">
        <v>5350</v>
      </c>
      <c r="C10" s="1">
        <v>-4400</v>
      </c>
      <c r="D10" s="1">
        <f t="shared" si="5"/>
        <v>-1250</v>
      </c>
      <c r="E10" s="1">
        <f t="shared" si="0"/>
        <v>950</v>
      </c>
      <c r="F10" s="1">
        <f t="shared" si="6"/>
        <v>-300</v>
      </c>
      <c r="G10" s="1"/>
      <c r="I10">
        <f t="shared" si="1"/>
        <v>9</v>
      </c>
      <c r="J10">
        <v>1</v>
      </c>
      <c r="K10">
        <f t="shared" si="7"/>
        <v>450</v>
      </c>
      <c r="L10">
        <v>450</v>
      </c>
      <c r="M10">
        <f t="shared" si="8"/>
        <v>3600</v>
      </c>
      <c r="N10">
        <v>250</v>
      </c>
      <c r="O10">
        <f t="shared" si="2"/>
        <v>4300</v>
      </c>
      <c r="P10">
        <f t="shared" si="3"/>
        <v>4350</v>
      </c>
      <c r="Q10">
        <f t="shared" si="4"/>
        <v>-4350</v>
      </c>
    </row>
    <row r="11" spans="1:17">
      <c r="A11" s="1" t="s">
        <v>35</v>
      </c>
      <c r="B11" s="1">
        <v>5400</v>
      </c>
      <c r="C11" s="1">
        <v>-4350</v>
      </c>
      <c r="D11" s="1">
        <f t="shared" si="5"/>
        <v>-1250</v>
      </c>
      <c r="E11" s="1">
        <f t="shared" si="0"/>
        <v>1050</v>
      </c>
      <c r="F11" s="1">
        <f t="shared" si="6"/>
        <v>-200</v>
      </c>
      <c r="G11" s="1"/>
      <c r="I11">
        <f t="shared" si="1"/>
        <v>10</v>
      </c>
      <c r="J11">
        <v>0</v>
      </c>
      <c r="K11">
        <f t="shared" si="7"/>
        <v>0</v>
      </c>
      <c r="L11">
        <v>450</v>
      </c>
      <c r="M11">
        <f t="shared" ref="M11" si="9">400*I11</f>
        <v>4000</v>
      </c>
      <c r="N11">
        <v>250</v>
      </c>
      <c r="O11">
        <f t="shared" ref="O11" si="10">N11+M11+K11</f>
        <v>4250</v>
      </c>
      <c r="P11">
        <f t="shared" si="3"/>
        <v>4300</v>
      </c>
      <c r="Q11">
        <v>-4300</v>
      </c>
    </row>
    <row r="12" spans="1:17">
      <c r="A12" s="1" t="s">
        <v>35</v>
      </c>
      <c r="B12" s="1">
        <v>5450</v>
      </c>
      <c r="C12" s="1">
        <v>-4300</v>
      </c>
      <c r="D12" s="1">
        <f t="shared" si="5"/>
        <v>-1250</v>
      </c>
      <c r="E12" s="1">
        <f t="shared" si="0"/>
        <v>1150</v>
      </c>
      <c r="F12" s="1">
        <f t="shared" si="6"/>
        <v>-100</v>
      </c>
      <c r="G12" s="1"/>
    </row>
    <row r="13" spans="1:17">
      <c r="D13" s="1">
        <f>SUM(D3:D12)</f>
        <v>-12500</v>
      </c>
      <c r="E13" s="2">
        <f>SUM(E3:E12)</f>
        <v>7000</v>
      </c>
      <c r="F13" s="1"/>
      <c r="G13" s="1"/>
    </row>
    <row r="16" spans="1:17">
      <c r="A16" s="80" t="s">
        <v>18</v>
      </c>
      <c r="B16" s="80"/>
    </row>
    <row r="17" spans="1:8">
      <c r="A17" s="3" t="s">
        <v>19</v>
      </c>
      <c r="B17" s="3">
        <v>500</v>
      </c>
    </row>
    <row r="18" spans="1:8">
      <c r="A18" s="3" t="s">
        <v>24</v>
      </c>
      <c r="B18" s="3">
        <v>2500</v>
      </c>
    </row>
    <row r="19" spans="1:8">
      <c r="A19" s="3" t="s">
        <v>34</v>
      </c>
      <c r="B19" s="3">
        <f>((100*10)*10)*-1</f>
        <v>-10000</v>
      </c>
    </row>
    <row r="20" spans="1:8">
      <c r="A20" s="3" t="s">
        <v>27</v>
      </c>
      <c r="B20" s="3">
        <v>12500</v>
      </c>
      <c r="F20" t="s">
        <v>36</v>
      </c>
      <c r="G20" t="s">
        <v>37</v>
      </c>
    </row>
    <row r="21" spans="1:8">
      <c r="A21" s="3" t="s">
        <v>25</v>
      </c>
      <c r="B21" s="3">
        <f>SUM(B17:B20)</f>
        <v>5500</v>
      </c>
      <c r="E21">
        <v>1</v>
      </c>
      <c r="F21">
        <f>400*10</f>
        <v>4000</v>
      </c>
      <c r="G21">
        <f>100*10</f>
        <v>1000</v>
      </c>
      <c r="H21">
        <f>G21+F21</f>
        <v>5000</v>
      </c>
    </row>
    <row r="22" spans="1:8">
      <c r="E22">
        <v>2</v>
      </c>
      <c r="F22">
        <f t="shared" ref="F22:F30" si="11">400*10</f>
        <v>4000</v>
      </c>
      <c r="G22">
        <f t="shared" ref="G22:G30" si="12">100*10</f>
        <v>1000</v>
      </c>
      <c r="H22">
        <f t="shared" ref="H22:H30" si="13">G22+F22</f>
        <v>5000</v>
      </c>
    </row>
    <row r="23" spans="1:8">
      <c r="A23">
        <v>950</v>
      </c>
      <c r="B23">
        <v>5</v>
      </c>
      <c r="C23">
        <f>B23*A23</f>
        <v>4750</v>
      </c>
      <c r="D23">
        <f>C23-B18</f>
        <v>2250</v>
      </c>
      <c r="E23">
        <v>3</v>
      </c>
      <c r="F23">
        <f t="shared" si="11"/>
        <v>4000</v>
      </c>
      <c r="G23">
        <f t="shared" si="12"/>
        <v>1000</v>
      </c>
      <c r="H23">
        <f t="shared" si="13"/>
        <v>5000</v>
      </c>
    </row>
    <row r="24" spans="1:8">
      <c r="D24">
        <f>D23*3</f>
        <v>6750</v>
      </c>
      <c r="E24">
        <v>4</v>
      </c>
      <c r="F24">
        <f t="shared" si="11"/>
        <v>4000</v>
      </c>
      <c r="G24">
        <f t="shared" si="12"/>
        <v>1000</v>
      </c>
      <c r="H24">
        <f t="shared" si="13"/>
        <v>5000</v>
      </c>
    </row>
    <row r="25" spans="1:8">
      <c r="D25">
        <f>D24*6</f>
        <v>40500</v>
      </c>
      <c r="E25">
        <v>5</v>
      </c>
      <c r="F25">
        <f t="shared" si="11"/>
        <v>4000</v>
      </c>
      <c r="G25">
        <f t="shared" si="12"/>
        <v>1000</v>
      </c>
      <c r="H25">
        <f t="shared" si="13"/>
        <v>5000</v>
      </c>
    </row>
    <row r="26" spans="1:8">
      <c r="E26">
        <v>6</v>
      </c>
      <c r="F26">
        <f t="shared" si="11"/>
        <v>4000</v>
      </c>
      <c r="G26">
        <f t="shared" si="12"/>
        <v>1000</v>
      </c>
      <c r="H26">
        <f t="shared" si="13"/>
        <v>5000</v>
      </c>
    </row>
    <row r="27" spans="1:8">
      <c r="A27">
        <f>12500*3</f>
        <v>37500</v>
      </c>
      <c r="E27">
        <v>7</v>
      </c>
      <c r="F27">
        <f t="shared" si="11"/>
        <v>4000</v>
      </c>
      <c r="G27">
        <f t="shared" si="12"/>
        <v>1000</v>
      </c>
      <c r="H27">
        <f t="shared" si="13"/>
        <v>5000</v>
      </c>
    </row>
    <row r="28" spans="1:8">
      <c r="A28">
        <f>A27*6</f>
        <v>225000</v>
      </c>
      <c r="E28">
        <v>8</v>
      </c>
      <c r="F28">
        <f t="shared" si="11"/>
        <v>4000</v>
      </c>
      <c r="G28">
        <f t="shared" si="12"/>
        <v>1000</v>
      </c>
      <c r="H28">
        <f t="shared" si="13"/>
        <v>5000</v>
      </c>
    </row>
    <row r="29" spans="1:8">
      <c r="E29">
        <v>9</v>
      </c>
      <c r="F29">
        <f t="shared" si="11"/>
        <v>4000</v>
      </c>
      <c r="G29">
        <f t="shared" si="12"/>
        <v>1000</v>
      </c>
      <c r="H29">
        <f t="shared" si="13"/>
        <v>5000</v>
      </c>
    </row>
    <row r="30" spans="1:8">
      <c r="E30">
        <v>10</v>
      </c>
      <c r="F30">
        <f t="shared" si="11"/>
        <v>4000</v>
      </c>
      <c r="G30">
        <f t="shared" si="12"/>
        <v>1000</v>
      </c>
      <c r="H30">
        <f t="shared" si="13"/>
        <v>5000</v>
      </c>
    </row>
    <row r="32" spans="1:8">
      <c r="C32">
        <v>7000</v>
      </c>
      <c r="D32">
        <f>C32*3</f>
        <v>21000</v>
      </c>
    </row>
    <row r="33" spans="1:4">
      <c r="D33">
        <f>D32*6</f>
        <v>126000</v>
      </c>
    </row>
    <row r="34" spans="1:4">
      <c r="D34">
        <f>A28-D33</f>
        <v>99000</v>
      </c>
    </row>
    <row r="35" spans="1:4">
      <c r="A35" t="s">
        <v>39</v>
      </c>
    </row>
    <row r="36" spans="1:4">
      <c r="A36" t="s">
        <v>38</v>
      </c>
    </row>
    <row r="37" spans="1:4">
      <c r="A37" t="s">
        <v>42</v>
      </c>
    </row>
    <row r="38" spans="1:4">
      <c r="A38" t="s">
        <v>40</v>
      </c>
    </row>
    <row r="39" spans="1:4">
      <c r="A39" t="s">
        <v>41</v>
      </c>
    </row>
    <row r="40" spans="1:4">
      <c r="A40" t="s">
        <v>43</v>
      </c>
    </row>
    <row r="41" spans="1:4">
      <c r="A41" t="s">
        <v>44</v>
      </c>
    </row>
    <row r="42" spans="1:4">
      <c r="A42" t="s">
        <v>45</v>
      </c>
    </row>
  </sheetData>
  <mergeCells count="1">
    <mergeCell ref="A16:B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7"/>
  <sheetViews>
    <sheetView tabSelected="1" workbookViewId="0">
      <selection activeCell="L12" sqref="L12"/>
    </sheetView>
  </sheetViews>
  <sheetFormatPr defaultRowHeight="15"/>
  <cols>
    <col min="1" max="1" width="9.5703125" customWidth="1"/>
    <col min="2" max="2" width="11.5703125" style="4" bestFit="1" customWidth="1"/>
    <col min="3" max="3" width="12" style="4" bestFit="1" customWidth="1"/>
    <col min="4" max="4" width="9.5703125" style="4" customWidth="1"/>
    <col min="5" max="5" width="14.42578125" style="4" bestFit="1" customWidth="1"/>
    <col min="6" max="7" width="10.5703125" style="4" bestFit="1" customWidth="1"/>
    <col min="8" max="8" width="9.5703125" style="4" bestFit="1" customWidth="1"/>
    <col min="9" max="11" width="9.5703125" style="4" customWidth="1"/>
    <col min="12" max="12" width="10" style="4" bestFit="1" customWidth="1"/>
    <col min="13" max="13" width="11.5703125" style="4" bestFit="1" customWidth="1"/>
    <col min="14" max="14" width="9.5703125" bestFit="1" customWidth="1"/>
    <col min="15" max="15" width="10.5703125" bestFit="1" customWidth="1"/>
    <col min="16" max="16" width="9.5703125" bestFit="1" customWidth="1"/>
  </cols>
  <sheetData>
    <row r="1" spans="1:16" ht="18.75" customHeight="1">
      <c r="A1" s="37" t="s">
        <v>0</v>
      </c>
      <c r="B1" s="38" t="s">
        <v>14</v>
      </c>
      <c r="C1" s="38" t="s">
        <v>15</v>
      </c>
      <c r="D1" s="38" t="s">
        <v>91</v>
      </c>
      <c r="E1" s="38" t="s">
        <v>92</v>
      </c>
      <c r="F1" s="38" t="s">
        <v>16</v>
      </c>
      <c r="G1" s="38" t="s">
        <v>17</v>
      </c>
      <c r="H1" s="38" t="s">
        <v>93</v>
      </c>
      <c r="I1" s="38"/>
      <c r="J1" s="38" t="s">
        <v>65</v>
      </c>
      <c r="K1" s="38" t="s">
        <v>94</v>
      </c>
      <c r="L1" s="38" t="s">
        <v>68</v>
      </c>
      <c r="M1" s="39" t="s">
        <v>71</v>
      </c>
    </row>
    <row r="2" spans="1:16">
      <c r="A2" t="s">
        <v>60</v>
      </c>
    </row>
    <row r="3" spans="1:16">
      <c r="A3" t="s">
        <v>1</v>
      </c>
      <c r="B3" s="4">
        <v>55800</v>
      </c>
      <c r="F3" s="4">
        <f>-1250</f>
        <v>-1250</v>
      </c>
      <c r="G3" s="4">
        <f>-1250</f>
        <v>-1250</v>
      </c>
      <c r="M3" s="4">
        <f>SUM(B3:L3)</f>
        <v>53300</v>
      </c>
      <c r="N3" s="5"/>
      <c r="O3" s="5"/>
      <c r="P3" s="5"/>
    </row>
    <row r="4" spans="1:16">
      <c r="A4" t="s">
        <v>2</v>
      </c>
      <c r="B4" s="4">
        <v>272050</v>
      </c>
      <c r="C4" s="4">
        <v>-2850</v>
      </c>
      <c r="F4" s="4">
        <f t="shared" ref="F4:F5" si="0">-1250</f>
        <v>-1250</v>
      </c>
      <c r="G4" s="4">
        <f>-1250</f>
        <v>-1250</v>
      </c>
      <c r="M4" s="4">
        <f t="shared" ref="M4:M24" si="1">SUM(B4:L4)</f>
        <v>266700</v>
      </c>
    </row>
    <row r="5" spans="1:16">
      <c r="A5" t="s">
        <v>3</v>
      </c>
      <c r="B5" s="4">
        <v>419050</v>
      </c>
      <c r="F5" s="4">
        <f t="shared" si="0"/>
        <v>-1250</v>
      </c>
      <c r="G5" s="4">
        <f>-2500</f>
        <v>-2500</v>
      </c>
      <c r="M5" s="4">
        <f t="shared" si="1"/>
        <v>415300</v>
      </c>
    </row>
    <row r="6" spans="1:16">
      <c r="A6" t="s">
        <v>4</v>
      </c>
      <c r="B6" s="4">
        <v>52789</v>
      </c>
      <c r="F6" s="4">
        <f>-3750</f>
        <v>-3750</v>
      </c>
      <c r="M6" s="4">
        <f t="shared" si="1"/>
        <v>49039</v>
      </c>
    </row>
    <row r="7" spans="1:16">
      <c r="A7" t="s">
        <v>5</v>
      </c>
      <c r="B7" s="4">
        <v>437500</v>
      </c>
      <c r="F7" s="4">
        <f>-2500</f>
        <v>-2500</v>
      </c>
      <c r="M7" s="4">
        <f t="shared" si="1"/>
        <v>435000</v>
      </c>
    </row>
    <row r="8" spans="1:16">
      <c r="A8" t="s">
        <v>6</v>
      </c>
      <c r="B8" s="4">
        <v>217180</v>
      </c>
      <c r="F8" s="4">
        <f>-2500</f>
        <v>-2500</v>
      </c>
      <c r="M8" s="4">
        <f t="shared" si="1"/>
        <v>214680</v>
      </c>
    </row>
    <row r="9" spans="1:16">
      <c r="A9" t="s">
        <v>7</v>
      </c>
      <c r="B9" s="4">
        <v>334050</v>
      </c>
      <c r="C9" s="4">
        <v>-3150</v>
      </c>
      <c r="G9" s="4">
        <f>-2500</f>
        <v>-2500</v>
      </c>
      <c r="M9" s="4">
        <f t="shared" si="1"/>
        <v>328400</v>
      </c>
    </row>
    <row r="10" spans="1:16">
      <c r="A10" t="s">
        <v>8</v>
      </c>
      <c r="B10" s="4">
        <v>77016</v>
      </c>
      <c r="G10" s="4">
        <f t="shared" ref="G10:G11" si="2">-2500</f>
        <v>-2500</v>
      </c>
      <c r="M10" s="4">
        <f t="shared" si="1"/>
        <v>74516</v>
      </c>
    </row>
    <row r="11" spans="1:16">
      <c r="A11" t="s">
        <v>9</v>
      </c>
      <c r="B11" s="4">
        <v>25000</v>
      </c>
      <c r="G11" s="4">
        <f t="shared" si="2"/>
        <v>-2500</v>
      </c>
      <c r="M11" s="4">
        <f t="shared" si="1"/>
        <v>22500</v>
      </c>
    </row>
    <row r="12" spans="1:16">
      <c r="A12" t="s">
        <v>10</v>
      </c>
      <c r="C12" s="4">
        <v>-3500</v>
      </c>
      <c r="M12" s="4">
        <f t="shared" si="1"/>
        <v>-3500</v>
      </c>
    </row>
    <row r="13" spans="1:16">
      <c r="A13" t="s">
        <v>95</v>
      </c>
      <c r="B13" s="4">
        <v>9318</v>
      </c>
      <c r="D13" s="4">
        <f>-3250</f>
        <v>-3250</v>
      </c>
      <c r="E13" s="4">
        <f>-400</f>
        <v>-400</v>
      </c>
      <c r="M13" s="4">
        <f t="shared" si="1"/>
        <v>5668</v>
      </c>
    </row>
    <row r="14" spans="1:16">
      <c r="A14" t="s">
        <v>11</v>
      </c>
      <c r="C14" s="4">
        <v>-9000</v>
      </c>
      <c r="M14" s="4">
        <f t="shared" si="1"/>
        <v>-9000</v>
      </c>
    </row>
    <row r="15" spans="1:16">
      <c r="A15" t="s">
        <v>12</v>
      </c>
      <c r="C15" s="4">
        <v>-4200</v>
      </c>
      <c r="M15" s="4">
        <f t="shared" si="1"/>
        <v>-4200</v>
      </c>
    </row>
    <row r="16" spans="1:16">
      <c r="A16" t="s">
        <v>13</v>
      </c>
      <c r="C16" s="4">
        <v>-2750</v>
      </c>
      <c r="M16" s="4">
        <f t="shared" si="1"/>
        <v>-2750</v>
      </c>
    </row>
    <row r="17" spans="1:13">
      <c r="A17" t="s">
        <v>96</v>
      </c>
      <c r="B17" s="4">
        <v>192500</v>
      </c>
      <c r="H17" s="4">
        <f>-800</f>
        <v>-800</v>
      </c>
      <c r="K17" s="4">
        <f>-3000</f>
        <v>-3000</v>
      </c>
      <c r="M17" s="4">
        <f t="shared" si="1"/>
        <v>188700</v>
      </c>
    </row>
    <row r="18" spans="1:13">
      <c r="A18" t="s">
        <v>105</v>
      </c>
      <c r="M18" s="4">
        <f t="shared" si="1"/>
        <v>0</v>
      </c>
    </row>
    <row r="19" spans="1:13">
      <c r="A19" t="s">
        <v>106</v>
      </c>
      <c r="B19" s="4">
        <v>55340</v>
      </c>
      <c r="K19" s="4">
        <f>-750</f>
        <v>-750</v>
      </c>
      <c r="M19" s="4">
        <f t="shared" si="1"/>
        <v>54590</v>
      </c>
    </row>
    <row r="20" spans="1:13">
      <c r="A20" t="s">
        <v>107</v>
      </c>
      <c r="M20" s="4">
        <f t="shared" si="1"/>
        <v>0</v>
      </c>
    </row>
    <row r="21" spans="1:13">
      <c r="A21" t="s">
        <v>108</v>
      </c>
      <c r="K21" s="4">
        <f>-750</f>
        <v>-750</v>
      </c>
      <c r="M21" s="4">
        <f t="shared" si="1"/>
        <v>-750</v>
      </c>
    </row>
    <row r="22" spans="1:13">
      <c r="A22" t="s">
        <v>109</v>
      </c>
      <c r="M22" s="4">
        <f t="shared" si="1"/>
        <v>0</v>
      </c>
    </row>
    <row r="23" spans="1:13">
      <c r="A23" t="s">
        <v>110</v>
      </c>
      <c r="M23" s="4">
        <f t="shared" si="1"/>
        <v>0</v>
      </c>
    </row>
    <row r="24" spans="1:13">
      <c r="A24" t="s">
        <v>111</v>
      </c>
      <c r="B24" s="4">
        <v>64700</v>
      </c>
      <c r="E24" s="4">
        <f>-4000</f>
        <v>-4000</v>
      </c>
      <c r="H24" s="4">
        <f>-1100</f>
        <v>-1100</v>
      </c>
      <c r="K24" s="4">
        <f>-3000</f>
        <v>-3000</v>
      </c>
      <c r="M24" s="4">
        <f t="shared" si="1"/>
        <v>56600</v>
      </c>
    </row>
    <row r="27" spans="1:13">
      <c r="B27" s="45"/>
      <c r="C27" s="36"/>
    </row>
    <row r="28" spans="1:13">
      <c r="B28" s="45"/>
      <c r="C28" s="36"/>
    </row>
    <row r="29" spans="1:13">
      <c r="B29" s="45"/>
      <c r="C29" s="36"/>
    </row>
    <row r="30" spans="1:13">
      <c r="B30" s="45"/>
      <c r="C30" s="36"/>
    </row>
    <row r="31" spans="1:13">
      <c r="B31" s="45"/>
      <c r="C31" s="36"/>
    </row>
    <row r="32" spans="1:13">
      <c r="B32" s="45"/>
      <c r="C32" s="36"/>
    </row>
    <row r="33" spans="2:3">
      <c r="B33" s="45"/>
      <c r="C33" s="36"/>
    </row>
    <row r="34" spans="2:3">
      <c r="B34" s="45"/>
      <c r="C34" s="36"/>
    </row>
    <row r="35" spans="2:3">
      <c r="B35" s="45"/>
      <c r="C35" s="36"/>
    </row>
    <row r="36" spans="2:3">
      <c r="B36" s="45"/>
      <c r="C36" s="36"/>
    </row>
    <row r="37" spans="2:3">
      <c r="B37" s="45"/>
      <c r="C37" s="3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"/>
  <sheetViews>
    <sheetView topLeftCell="A7" zoomScaleNormal="100" workbookViewId="0">
      <selection activeCell="C14" sqref="C14"/>
    </sheetView>
  </sheetViews>
  <sheetFormatPr defaultRowHeight="15"/>
  <cols>
    <col min="1" max="1" width="49.28515625" bestFit="1" customWidth="1"/>
    <col min="2" max="2" width="18.42578125" bestFit="1" customWidth="1"/>
    <col min="3" max="3" width="8.7109375" customWidth="1"/>
    <col min="4" max="4" width="3.140625" style="17" customWidth="1"/>
    <col min="5" max="5" width="3.5703125" style="12" bestFit="1" customWidth="1"/>
    <col min="6" max="6" width="17.28515625" bestFit="1" customWidth="1"/>
    <col min="7" max="7" width="10.5703125" style="4" bestFit="1" customWidth="1"/>
    <col min="8" max="8" width="10.5703125" style="4" customWidth="1"/>
    <col min="9" max="9" width="11.7109375" style="4" customWidth="1"/>
    <col min="10" max="10" width="14.5703125" style="4" customWidth="1"/>
    <col min="11" max="12" width="18.28515625" style="4" customWidth="1"/>
    <col min="13" max="13" width="11" style="4" bestFit="1" customWidth="1"/>
    <col min="14" max="14" width="15.7109375" style="4" customWidth="1"/>
    <col min="15" max="15" width="7.42578125" bestFit="1" customWidth="1"/>
    <col min="16" max="16" width="18.42578125" bestFit="1" customWidth="1"/>
    <col min="17" max="17" width="10.7109375" customWidth="1"/>
    <col min="18" max="18" width="11" customWidth="1"/>
  </cols>
  <sheetData>
    <row r="1" spans="1:18" ht="18.75">
      <c r="A1" s="83" t="s">
        <v>50</v>
      </c>
      <c r="B1" s="84"/>
      <c r="C1" s="18" t="s">
        <v>59</v>
      </c>
      <c r="D1" s="15"/>
      <c r="E1" s="85" t="str">
        <f>B3</f>
        <v>ท้องฟ้า</v>
      </c>
      <c r="F1" s="85"/>
      <c r="G1" s="85"/>
      <c r="H1" s="85"/>
      <c r="I1" s="85"/>
      <c r="J1" s="85"/>
      <c r="K1" s="85"/>
      <c r="L1" s="85"/>
      <c r="M1" s="85"/>
      <c r="N1" s="85"/>
      <c r="P1" s="81" t="s">
        <v>64</v>
      </c>
      <c r="Q1" s="82"/>
      <c r="R1" s="82"/>
    </row>
    <row r="2" spans="1:18" ht="51.75" customHeight="1">
      <c r="A2" s="27" t="s">
        <v>79</v>
      </c>
      <c r="B2" s="98">
        <v>43031</v>
      </c>
      <c r="C2" s="28">
        <v>7</v>
      </c>
      <c r="D2" s="16"/>
      <c r="E2" s="21" t="s">
        <v>51</v>
      </c>
      <c r="F2" s="21" t="s">
        <v>22</v>
      </c>
      <c r="G2" s="63" t="s">
        <v>47</v>
      </c>
      <c r="H2" s="63" t="s">
        <v>21</v>
      </c>
      <c r="I2" s="63" t="s">
        <v>19</v>
      </c>
      <c r="J2" s="63" t="s">
        <v>52</v>
      </c>
      <c r="K2" s="63" t="s">
        <v>53</v>
      </c>
      <c r="L2" s="64" t="s">
        <v>80</v>
      </c>
      <c r="M2" s="63" t="s">
        <v>48</v>
      </c>
      <c r="N2" s="63" t="s">
        <v>49</v>
      </c>
      <c r="P2" s="95" t="s">
        <v>54</v>
      </c>
      <c r="Q2" s="20" t="s">
        <v>55</v>
      </c>
      <c r="R2" s="20" t="s">
        <v>63</v>
      </c>
    </row>
    <row r="3" spans="1:18">
      <c r="A3" s="7" t="s">
        <v>39</v>
      </c>
      <c r="B3" s="3" t="s">
        <v>94</v>
      </c>
      <c r="C3" s="6"/>
      <c r="E3" s="23">
        <v>1</v>
      </c>
      <c r="F3" s="11" t="s">
        <v>18</v>
      </c>
      <c r="G3" s="32">
        <v>15000</v>
      </c>
      <c r="H3" s="32"/>
      <c r="I3" s="32"/>
      <c r="J3" s="32"/>
      <c r="K3" s="32"/>
      <c r="L3" s="65"/>
      <c r="M3" s="32"/>
      <c r="N3" s="32"/>
      <c r="P3" s="96">
        <v>43031</v>
      </c>
      <c r="Q3" s="3"/>
      <c r="R3" s="3"/>
    </row>
    <row r="4" spans="1:18">
      <c r="A4" s="7" t="s">
        <v>38</v>
      </c>
      <c r="B4" s="3">
        <v>15000</v>
      </c>
      <c r="C4" s="6"/>
      <c r="E4" s="24">
        <v>2</v>
      </c>
      <c r="F4" s="29" t="s">
        <v>105</v>
      </c>
      <c r="G4" s="32">
        <v>15000</v>
      </c>
      <c r="H4" s="33">
        <v>-20100</v>
      </c>
      <c r="I4" s="33">
        <v>0</v>
      </c>
      <c r="J4" s="33">
        <v>-20100</v>
      </c>
      <c r="K4" s="32">
        <v>-5100</v>
      </c>
      <c r="L4" s="65"/>
      <c r="M4" s="32">
        <v>0</v>
      </c>
      <c r="N4" s="32">
        <v>-5100</v>
      </c>
      <c r="P4" s="97">
        <v>43038</v>
      </c>
      <c r="Q4" s="3">
        <v>0</v>
      </c>
      <c r="R4" s="3"/>
    </row>
    <row r="5" spans="1:18">
      <c r="A5" s="7" t="s">
        <v>42</v>
      </c>
      <c r="B5" s="3">
        <v>10</v>
      </c>
      <c r="C5" s="6"/>
      <c r="E5" s="24">
        <v>3</v>
      </c>
      <c r="F5" s="29" t="s">
        <v>106</v>
      </c>
      <c r="G5" s="32">
        <v>15050</v>
      </c>
      <c r="H5" s="33">
        <v>-19700</v>
      </c>
      <c r="I5" s="33">
        <v>0</v>
      </c>
      <c r="J5" s="33">
        <v>-19700</v>
      </c>
      <c r="K5" s="32">
        <v>-4650</v>
      </c>
      <c r="L5" s="65"/>
      <c r="M5" s="32">
        <v>750</v>
      </c>
      <c r="N5" s="32">
        <v>-3900</v>
      </c>
      <c r="P5" s="96">
        <v>43045</v>
      </c>
      <c r="Q5" s="3">
        <v>0</v>
      </c>
      <c r="R5" s="3"/>
    </row>
    <row r="6" spans="1:18">
      <c r="A6" s="7" t="s">
        <v>40</v>
      </c>
      <c r="B6" s="3">
        <v>1500</v>
      </c>
      <c r="C6" s="6"/>
      <c r="E6" s="24">
        <v>4</v>
      </c>
      <c r="F6" s="29" t="s">
        <v>107</v>
      </c>
      <c r="G6" s="32">
        <v>15100</v>
      </c>
      <c r="H6" s="33">
        <v>-19300</v>
      </c>
      <c r="I6" s="33">
        <v>0</v>
      </c>
      <c r="J6" s="33">
        <v>-19300</v>
      </c>
      <c r="K6" s="32">
        <v>-4200</v>
      </c>
      <c r="L6" s="66"/>
      <c r="M6" s="32">
        <v>0</v>
      </c>
      <c r="N6" s="32">
        <v>-4200</v>
      </c>
      <c r="P6" s="96">
        <v>43052</v>
      </c>
      <c r="Q6" s="3">
        <v>0</v>
      </c>
      <c r="R6" s="3"/>
    </row>
    <row r="7" spans="1:18">
      <c r="A7" s="7" t="s">
        <v>41</v>
      </c>
      <c r="B7" s="3">
        <v>400</v>
      </c>
      <c r="C7" s="6"/>
      <c r="E7" s="24">
        <v>5</v>
      </c>
      <c r="F7" s="29" t="s">
        <v>96</v>
      </c>
      <c r="G7" s="32">
        <v>15150</v>
      </c>
      <c r="H7" s="33">
        <v>-18900</v>
      </c>
      <c r="I7" s="33">
        <v>0</v>
      </c>
      <c r="J7" s="33">
        <v>-18900</v>
      </c>
      <c r="K7" s="32">
        <v>-3750</v>
      </c>
      <c r="L7" s="65"/>
      <c r="M7" s="32">
        <v>1500</v>
      </c>
      <c r="N7" s="32">
        <v>-2250</v>
      </c>
      <c r="P7" s="96">
        <v>43059</v>
      </c>
      <c r="Q7" s="3">
        <v>0</v>
      </c>
      <c r="R7" s="3"/>
    </row>
    <row r="8" spans="1:18">
      <c r="A8" s="7" t="s">
        <v>43</v>
      </c>
      <c r="B8" s="3"/>
      <c r="C8" s="6"/>
      <c r="E8" s="24">
        <v>6</v>
      </c>
      <c r="F8" s="29" t="s">
        <v>108</v>
      </c>
      <c r="G8" s="32">
        <v>15200</v>
      </c>
      <c r="H8" s="33">
        <v>-18500</v>
      </c>
      <c r="I8" s="33">
        <v>0</v>
      </c>
      <c r="J8" s="33">
        <v>-18500</v>
      </c>
      <c r="K8" s="32">
        <v>-3300</v>
      </c>
      <c r="L8" s="65"/>
      <c r="M8" s="32">
        <v>750</v>
      </c>
      <c r="N8" s="32">
        <v>-2550</v>
      </c>
      <c r="P8" s="96">
        <v>43066</v>
      </c>
      <c r="Q8" s="3">
        <v>0</v>
      </c>
      <c r="R8" s="3"/>
    </row>
    <row r="9" spans="1:18">
      <c r="A9" s="7" t="s">
        <v>44</v>
      </c>
      <c r="B9" s="3"/>
      <c r="C9" s="6"/>
      <c r="E9" s="24">
        <v>7</v>
      </c>
      <c r="F9" s="29" t="s">
        <v>96</v>
      </c>
      <c r="G9" s="32">
        <v>15250</v>
      </c>
      <c r="H9" s="33">
        <v>-18100</v>
      </c>
      <c r="I9" s="33">
        <v>0</v>
      </c>
      <c r="J9" s="33">
        <v>-18100</v>
      </c>
      <c r="K9" s="32">
        <v>-2850</v>
      </c>
      <c r="L9" s="65"/>
      <c r="M9" s="32">
        <v>1500</v>
      </c>
      <c r="N9" s="32">
        <v>-1350</v>
      </c>
      <c r="P9" s="96">
        <v>43073</v>
      </c>
      <c r="Q9" s="3">
        <v>0</v>
      </c>
      <c r="R9" s="3"/>
    </row>
    <row r="10" spans="1:18">
      <c r="A10" s="7" t="s">
        <v>45</v>
      </c>
      <c r="B10" s="3">
        <v>400</v>
      </c>
      <c r="C10" s="6"/>
      <c r="E10" s="24">
        <v>8</v>
      </c>
      <c r="F10" s="29" t="s">
        <v>109</v>
      </c>
      <c r="G10" s="32">
        <v>15300</v>
      </c>
      <c r="H10" s="33">
        <v>-17700</v>
      </c>
      <c r="I10" s="33">
        <v>0</v>
      </c>
      <c r="J10" s="33">
        <v>-17700</v>
      </c>
      <c r="K10" s="32">
        <v>-2400</v>
      </c>
      <c r="L10" s="65"/>
      <c r="M10" s="32">
        <v>0</v>
      </c>
      <c r="N10" s="32">
        <v>-2400</v>
      </c>
      <c r="P10" s="96">
        <v>43080</v>
      </c>
      <c r="Q10" s="3">
        <v>0</v>
      </c>
      <c r="R10" s="3"/>
    </row>
    <row r="11" spans="1:18">
      <c r="A11" s="7" t="s">
        <v>46</v>
      </c>
      <c r="B11" s="3"/>
      <c r="C11" s="6"/>
      <c r="E11" s="24">
        <v>9</v>
      </c>
      <c r="F11" s="29" t="s">
        <v>110</v>
      </c>
      <c r="G11" s="32">
        <v>15350</v>
      </c>
      <c r="H11" s="33">
        <v>-17300</v>
      </c>
      <c r="I11" s="33">
        <v>0</v>
      </c>
      <c r="J11" s="33">
        <v>-17300</v>
      </c>
      <c r="K11" s="32">
        <v>-1950</v>
      </c>
      <c r="L11" s="65"/>
      <c r="M11" s="32">
        <v>0</v>
      </c>
      <c r="N11" s="32">
        <v>-1950</v>
      </c>
      <c r="P11" s="96">
        <v>43087</v>
      </c>
      <c r="Q11" s="3">
        <v>0</v>
      </c>
      <c r="R11" s="3"/>
    </row>
    <row r="12" spans="1:18">
      <c r="A12" s="26"/>
      <c r="B12" s="3"/>
      <c r="C12" s="2"/>
      <c r="D12" s="16"/>
      <c r="E12" s="24">
        <v>10</v>
      </c>
      <c r="F12" s="29" t="s">
        <v>111</v>
      </c>
      <c r="G12" s="32">
        <v>15400</v>
      </c>
      <c r="H12" s="33">
        <v>-16900</v>
      </c>
      <c r="I12" s="33">
        <v>0</v>
      </c>
      <c r="J12" s="33">
        <v>-16900</v>
      </c>
      <c r="K12" s="32">
        <v>-1500</v>
      </c>
      <c r="L12" s="65"/>
      <c r="M12" s="32">
        <v>1500</v>
      </c>
      <c r="N12" s="32">
        <v>0</v>
      </c>
      <c r="P12" s="96">
        <v>43094</v>
      </c>
      <c r="Q12" s="3">
        <v>0</v>
      </c>
      <c r="R12" s="3"/>
    </row>
    <row r="13" spans="1:18">
      <c r="A13" s="3"/>
      <c r="B13" s="3"/>
      <c r="C13" s="2"/>
      <c r="D13" s="16"/>
      <c r="E13" s="24">
        <v>11</v>
      </c>
      <c r="F13" t="s">
        <v>111</v>
      </c>
      <c r="G13" s="32">
        <v>15450</v>
      </c>
      <c r="H13" s="33">
        <v>-16500</v>
      </c>
      <c r="I13" s="33">
        <v>0</v>
      </c>
      <c r="J13" s="33">
        <v>-16500</v>
      </c>
      <c r="K13" s="32">
        <v>-1050</v>
      </c>
      <c r="L13" s="65"/>
      <c r="M13" s="32">
        <v>1500</v>
      </c>
      <c r="N13" s="32">
        <v>450</v>
      </c>
      <c r="P13" s="96">
        <v>43101</v>
      </c>
      <c r="Q13" s="3">
        <v>0</v>
      </c>
      <c r="R13" s="3"/>
    </row>
    <row r="14" spans="1:18">
      <c r="A14" s="3"/>
      <c r="B14" s="54"/>
      <c r="C14" s="2"/>
      <c r="D14" s="16"/>
      <c r="E14" s="24"/>
      <c r="F14" s="10"/>
      <c r="G14" s="67"/>
      <c r="H14" s="32"/>
      <c r="I14" s="32"/>
      <c r="J14" s="32"/>
      <c r="K14" s="32"/>
      <c r="L14" s="65"/>
      <c r="M14" s="32"/>
      <c r="N14" s="32"/>
      <c r="P14" s="96"/>
      <c r="Q14" s="3"/>
      <c r="R14" s="3"/>
    </row>
    <row r="15" spans="1:18">
      <c r="A15" s="55"/>
      <c r="B15" s="55"/>
      <c r="E15" s="24"/>
      <c r="F15" s="10"/>
      <c r="G15" s="32"/>
      <c r="H15" s="32"/>
      <c r="I15" s="32"/>
      <c r="J15" s="32"/>
      <c r="K15" s="32"/>
      <c r="L15" s="65"/>
      <c r="M15" s="32"/>
      <c r="N15" s="32"/>
      <c r="P15" s="96"/>
      <c r="Q15" s="3"/>
      <c r="R15" s="3"/>
    </row>
    <row r="16" spans="1:18">
      <c r="A16" s="22"/>
      <c r="B16" s="22"/>
      <c r="E16" s="24"/>
      <c r="F16" s="10"/>
      <c r="G16" s="32"/>
      <c r="H16" s="32"/>
      <c r="I16" s="32"/>
      <c r="J16" s="32"/>
      <c r="K16" s="32"/>
      <c r="L16" s="65"/>
      <c r="M16" s="32"/>
      <c r="N16" s="32"/>
      <c r="P16" s="96"/>
      <c r="Q16" s="3"/>
      <c r="R16" s="3"/>
    </row>
    <row r="17" spans="1:19">
      <c r="A17" s="22"/>
      <c r="B17" s="22"/>
      <c r="E17" s="24"/>
      <c r="F17" s="10"/>
      <c r="G17" s="32"/>
      <c r="H17" s="32"/>
      <c r="I17" s="32"/>
      <c r="J17" s="32"/>
      <c r="K17" s="32"/>
      <c r="L17" s="65"/>
      <c r="M17" s="32"/>
      <c r="N17" s="32"/>
      <c r="P17" s="96"/>
      <c r="Q17" s="3"/>
      <c r="R17" s="3"/>
    </row>
    <row r="18" spans="1:19">
      <c r="A18" s="81" t="s">
        <v>112</v>
      </c>
      <c r="B18" s="82"/>
      <c r="E18" s="24"/>
      <c r="F18" s="10"/>
      <c r="G18" s="32"/>
      <c r="H18" s="32"/>
      <c r="I18" s="32"/>
      <c r="J18" s="32"/>
      <c r="K18" s="32"/>
      <c r="L18" s="65"/>
      <c r="M18" s="32"/>
      <c r="N18" s="32"/>
      <c r="P18" s="96"/>
      <c r="Q18" s="3"/>
      <c r="R18" s="3"/>
    </row>
    <row r="19" spans="1:19">
      <c r="A19" s="58" t="s">
        <v>61</v>
      </c>
      <c r="B19" s="9">
        <v>15000</v>
      </c>
      <c r="E19" s="24"/>
      <c r="F19" s="10"/>
      <c r="G19" s="32"/>
      <c r="H19" s="32"/>
      <c r="I19" s="32"/>
      <c r="J19" s="32"/>
      <c r="K19" s="32"/>
      <c r="L19" s="65"/>
      <c r="M19" s="32"/>
      <c r="N19" s="32"/>
      <c r="P19" s="96"/>
      <c r="Q19" s="3"/>
      <c r="R19" s="3"/>
    </row>
    <row r="20" spans="1:19">
      <c r="A20" s="58" t="s">
        <v>19</v>
      </c>
      <c r="B20" s="9">
        <f>SUM(I3:I24)*-1</f>
        <v>0</v>
      </c>
      <c r="E20" s="24"/>
      <c r="F20" s="10"/>
      <c r="G20" s="32"/>
      <c r="H20" s="32"/>
      <c r="I20" s="32"/>
      <c r="J20" s="32"/>
      <c r="K20" s="32"/>
      <c r="L20" s="65"/>
      <c r="M20" s="32"/>
      <c r="N20" s="32"/>
      <c r="P20" s="96"/>
      <c r="Q20" s="3"/>
      <c r="R20" s="3"/>
    </row>
    <row r="21" spans="1:19">
      <c r="A21" s="58" t="s">
        <v>57</v>
      </c>
      <c r="B21" s="9">
        <f>SUM(Q3:Q24)</f>
        <v>0</v>
      </c>
      <c r="E21" s="24"/>
      <c r="F21" s="10"/>
      <c r="G21" s="32"/>
      <c r="H21" s="32"/>
      <c r="I21" s="32"/>
      <c r="J21" s="32"/>
      <c r="K21" s="32"/>
      <c r="L21" s="65"/>
      <c r="M21" s="32"/>
      <c r="N21" s="32"/>
      <c r="P21" s="96"/>
      <c r="Q21" s="3"/>
      <c r="R21" s="3"/>
    </row>
    <row r="22" spans="1:19">
      <c r="A22" s="58" t="s">
        <v>75</v>
      </c>
      <c r="B22" s="9">
        <v>0</v>
      </c>
      <c r="E22" s="24"/>
      <c r="F22" s="10"/>
      <c r="G22" s="32"/>
      <c r="H22" s="32"/>
      <c r="I22" s="32"/>
      <c r="J22" s="32"/>
      <c r="K22" s="32"/>
      <c r="L22" s="65"/>
      <c r="M22" s="32"/>
      <c r="N22" s="32"/>
      <c r="P22" s="96"/>
      <c r="Q22" s="3"/>
      <c r="R22" s="3"/>
    </row>
    <row r="23" spans="1:19">
      <c r="A23" s="59" t="s">
        <v>62</v>
      </c>
      <c r="B23" s="60">
        <f>SUM(B19:B22)</f>
        <v>15000</v>
      </c>
      <c r="E23" s="24"/>
      <c r="F23" s="10"/>
      <c r="G23" s="32"/>
      <c r="H23" s="32"/>
      <c r="I23" s="32"/>
      <c r="J23" s="32"/>
      <c r="K23" s="32"/>
      <c r="L23" s="65"/>
      <c r="M23" s="32"/>
      <c r="N23" s="32"/>
      <c r="P23" s="96"/>
      <c r="Q23" s="3"/>
      <c r="R23" s="3"/>
    </row>
    <row r="24" spans="1:19">
      <c r="A24" s="14"/>
      <c r="B24" s="19"/>
    </row>
    <row r="25" spans="1:19">
      <c r="A25" s="58" t="s">
        <v>23</v>
      </c>
      <c r="B25" s="9">
        <f>SUM(M3:M24)*-1</f>
        <v>-7500</v>
      </c>
    </row>
    <row r="26" spans="1:19">
      <c r="A26" s="59" t="s">
        <v>58</v>
      </c>
      <c r="B26" s="60">
        <f>SUM(B23:B25)</f>
        <v>7500</v>
      </c>
      <c r="E26" s="86" t="s">
        <v>101</v>
      </c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9">
      <c r="A27" s="22"/>
      <c r="B27" s="22"/>
      <c r="E27" s="80" t="str">
        <f>B3</f>
        <v>ท้องฟ้า</v>
      </c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</row>
    <row r="28" spans="1:19">
      <c r="A28" s="22"/>
      <c r="B28" s="22"/>
      <c r="E28" s="21" t="s">
        <v>51</v>
      </c>
      <c r="F28" s="21" t="s">
        <v>22</v>
      </c>
      <c r="G28" s="63" t="s">
        <v>47</v>
      </c>
      <c r="H28" s="73">
        <v>43031</v>
      </c>
      <c r="I28" s="73">
        <v>43038</v>
      </c>
      <c r="J28" s="73">
        <v>43045</v>
      </c>
      <c r="K28" s="73">
        <v>43052</v>
      </c>
      <c r="L28" s="74">
        <v>43059</v>
      </c>
      <c r="M28" s="74">
        <v>43066</v>
      </c>
      <c r="N28" s="74">
        <v>43073</v>
      </c>
      <c r="O28" s="51">
        <v>43080</v>
      </c>
      <c r="P28" s="51">
        <v>43087</v>
      </c>
      <c r="Q28" s="51">
        <v>43094</v>
      </c>
      <c r="R28" s="51">
        <v>43101</v>
      </c>
    </row>
    <row r="29" spans="1:19">
      <c r="A29" s="22"/>
      <c r="B29" s="22"/>
      <c r="E29" s="23">
        <v>1</v>
      </c>
      <c r="F29" s="11" t="s">
        <v>18</v>
      </c>
      <c r="G29" s="32">
        <v>15000</v>
      </c>
      <c r="H29" s="68"/>
      <c r="I29" s="68"/>
      <c r="J29" s="68"/>
      <c r="K29" s="68"/>
      <c r="L29" s="68"/>
      <c r="M29" s="68"/>
      <c r="N29" s="68"/>
      <c r="O29" s="56"/>
      <c r="P29" s="56"/>
      <c r="Q29" s="56"/>
      <c r="R29" s="56"/>
    </row>
    <row r="30" spans="1:19">
      <c r="A30" s="22"/>
      <c r="B30" s="22"/>
      <c r="E30" s="23">
        <v>2</v>
      </c>
      <c r="F30" s="49" t="s">
        <v>105</v>
      </c>
      <c r="G30" s="32">
        <v>15000</v>
      </c>
      <c r="H30" s="68">
        <v>1500</v>
      </c>
      <c r="I30" s="68">
        <v>1500</v>
      </c>
      <c r="J30" s="68">
        <v>1900</v>
      </c>
      <c r="K30" s="68">
        <v>1900</v>
      </c>
      <c r="L30" s="68">
        <v>1900</v>
      </c>
      <c r="M30" s="68">
        <v>1900</v>
      </c>
      <c r="N30" s="68">
        <v>1900</v>
      </c>
      <c r="O30" s="56">
        <v>1900</v>
      </c>
      <c r="P30" s="56">
        <v>1900</v>
      </c>
      <c r="Q30" s="56">
        <v>1900</v>
      </c>
      <c r="R30" s="56">
        <v>1900</v>
      </c>
    </row>
    <row r="31" spans="1:19">
      <c r="A31" s="22"/>
      <c r="B31" s="22"/>
      <c r="E31" s="23">
        <v>3</v>
      </c>
      <c r="F31" s="49" t="s">
        <v>106</v>
      </c>
      <c r="G31" s="32">
        <v>15050</v>
      </c>
      <c r="H31" s="68">
        <v>1500</v>
      </c>
      <c r="I31" s="68">
        <v>1500</v>
      </c>
      <c r="J31" s="68">
        <v>1500</v>
      </c>
      <c r="K31" s="68">
        <v>1900</v>
      </c>
      <c r="L31" s="68">
        <v>1900</v>
      </c>
      <c r="M31" s="68">
        <v>1900</v>
      </c>
      <c r="N31" s="68">
        <v>1900</v>
      </c>
      <c r="O31" s="56">
        <v>1900</v>
      </c>
      <c r="P31" s="56">
        <v>1900</v>
      </c>
      <c r="Q31" s="56">
        <v>1900</v>
      </c>
      <c r="R31" s="56">
        <v>1900</v>
      </c>
      <c r="S31" s="57"/>
    </row>
    <row r="32" spans="1:19">
      <c r="E32" s="23">
        <v>4</v>
      </c>
      <c r="F32" s="49" t="s">
        <v>107</v>
      </c>
      <c r="G32" s="32">
        <v>15100</v>
      </c>
      <c r="H32" s="68">
        <v>1500</v>
      </c>
      <c r="I32" s="68">
        <v>1500</v>
      </c>
      <c r="J32" s="68">
        <v>1500</v>
      </c>
      <c r="K32" s="68">
        <v>1500</v>
      </c>
      <c r="L32" s="68">
        <v>1900</v>
      </c>
      <c r="M32" s="68">
        <v>1900</v>
      </c>
      <c r="N32" s="68">
        <v>1900</v>
      </c>
      <c r="O32" s="56">
        <v>1900</v>
      </c>
      <c r="P32" s="56">
        <v>1900</v>
      </c>
      <c r="Q32" s="56">
        <v>1900</v>
      </c>
      <c r="R32" s="56">
        <v>1900</v>
      </c>
      <c r="S32" s="57"/>
    </row>
    <row r="33" spans="2:18">
      <c r="E33" s="23">
        <v>5</v>
      </c>
      <c r="F33" s="49" t="s">
        <v>96</v>
      </c>
      <c r="G33" s="32">
        <v>15150</v>
      </c>
      <c r="H33" s="68">
        <v>1500</v>
      </c>
      <c r="I33" s="68">
        <v>1500</v>
      </c>
      <c r="J33" s="68">
        <v>1500</v>
      </c>
      <c r="K33" s="68">
        <v>1500</v>
      </c>
      <c r="L33" s="68">
        <v>1500</v>
      </c>
      <c r="M33" s="68">
        <v>1900</v>
      </c>
      <c r="N33" s="68">
        <v>1900</v>
      </c>
      <c r="O33" s="56">
        <v>1900</v>
      </c>
      <c r="P33" s="56">
        <v>1900</v>
      </c>
      <c r="Q33" s="56">
        <v>1900</v>
      </c>
      <c r="R33" s="56">
        <v>1900</v>
      </c>
    </row>
    <row r="34" spans="2:18">
      <c r="E34" s="23">
        <v>6</v>
      </c>
      <c r="F34" s="49" t="s">
        <v>108</v>
      </c>
      <c r="G34" s="32">
        <v>15200</v>
      </c>
      <c r="H34" s="68">
        <v>1500</v>
      </c>
      <c r="I34" s="68">
        <v>1500</v>
      </c>
      <c r="J34" s="68">
        <v>1500</v>
      </c>
      <c r="K34" s="68">
        <v>1500</v>
      </c>
      <c r="L34" s="68">
        <v>1500</v>
      </c>
      <c r="M34" s="68">
        <v>1500</v>
      </c>
      <c r="N34" s="68">
        <v>1900</v>
      </c>
      <c r="O34" s="56">
        <v>1900</v>
      </c>
      <c r="P34" s="56">
        <v>1900</v>
      </c>
      <c r="Q34" s="56">
        <v>1900</v>
      </c>
      <c r="R34" s="56">
        <v>1900</v>
      </c>
    </row>
    <row r="35" spans="2:18">
      <c r="E35" s="23">
        <v>7</v>
      </c>
      <c r="F35" s="49" t="s">
        <v>96</v>
      </c>
      <c r="G35" s="32">
        <v>15250</v>
      </c>
      <c r="H35" s="68">
        <v>1500</v>
      </c>
      <c r="I35" s="68">
        <v>1500</v>
      </c>
      <c r="J35" s="68">
        <v>1500</v>
      </c>
      <c r="K35" s="68">
        <v>1500</v>
      </c>
      <c r="L35" s="68">
        <v>1500</v>
      </c>
      <c r="M35" s="68">
        <v>1500</v>
      </c>
      <c r="N35" s="68">
        <v>1500</v>
      </c>
      <c r="O35" s="56">
        <v>1900</v>
      </c>
      <c r="P35" s="56">
        <v>1900</v>
      </c>
      <c r="Q35" s="56">
        <v>1900</v>
      </c>
      <c r="R35" s="56">
        <v>1900</v>
      </c>
    </row>
    <row r="36" spans="2:18">
      <c r="B36" s="19"/>
      <c r="E36" s="23">
        <v>8</v>
      </c>
      <c r="F36" s="49" t="s">
        <v>109</v>
      </c>
      <c r="G36" s="32">
        <v>15300</v>
      </c>
      <c r="H36" s="68">
        <v>1500</v>
      </c>
      <c r="I36" s="68">
        <v>1500</v>
      </c>
      <c r="J36" s="68">
        <v>1500</v>
      </c>
      <c r="K36" s="68">
        <v>1500</v>
      </c>
      <c r="L36" s="68">
        <v>1500</v>
      </c>
      <c r="M36" s="68">
        <v>1500</v>
      </c>
      <c r="N36" s="68">
        <v>1500</v>
      </c>
      <c r="O36" s="56">
        <v>1500</v>
      </c>
      <c r="P36" s="56">
        <v>1900</v>
      </c>
      <c r="Q36" s="56">
        <v>1900</v>
      </c>
      <c r="R36" s="56">
        <v>1900</v>
      </c>
    </row>
    <row r="37" spans="2:18">
      <c r="E37" s="23">
        <v>9</v>
      </c>
      <c r="F37" s="49" t="s">
        <v>110</v>
      </c>
      <c r="G37" s="32">
        <v>15350</v>
      </c>
      <c r="H37" s="68">
        <v>1500</v>
      </c>
      <c r="I37" s="68">
        <v>1500</v>
      </c>
      <c r="J37" s="68">
        <v>1500</v>
      </c>
      <c r="K37" s="68">
        <v>1500</v>
      </c>
      <c r="L37" s="68">
        <v>1500</v>
      </c>
      <c r="M37" s="68">
        <v>1500</v>
      </c>
      <c r="N37" s="68">
        <v>1500</v>
      </c>
      <c r="O37" s="56">
        <v>1500</v>
      </c>
      <c r="P37" s="56">
        <v>1500</v>
      </c>
      <c r="Q37" s="56">
        <v>1900</v>
      </c>
      <c r="R37" s="56">
        <v>1900</v>
      </c>
    </row>
    <row r="38" spans="2:18">
      <c r="E38" s="23">
        <v>10</v>
      </c>
      <c r="F38" s="49" t="s">
        <v>111</v>
      </c>
      <c r="G38" s="32">
        <v>15400</v>
      </c>
      <c r="H38" s="68">
        <v>1500</v>
      </c>
      <c r="I38" s="68">
        <v>1500</v>
      </c>
      <c r="J38" s="68">
        <v>1500</v>
      </c>
      <c r="K38" s="68">
        <v>1500</v>
      </c>
      <c r="L38" s="68">
        <v>1500</v>
      </c>
      <c r="M38" s="68">
        <v>1500</v>
      </c>
      <c r="N38" s="68">
        <v>1500</v>
      </c>
      <c r="O38" s="56">
        <v>1500</v>
      </c>
      <c r="P38" s="56">
        <v>1500</v>
      </c>
      <c r="Q38" s="56">
        <v>1500</v>
      </c>
      <c r="R38" s="56">
        <v>1900</v>
      </c>
    </row>
    <row r="39" spans="2:18">
      <c r="B39" t="s">
        <v>60</v>
      </c>
      <c r="E39" s="23">
        <v>11</v>
      </c>
      <c r="F39" s="10" t="s">
        <v>111</v>
      </c>
      <c r="G39" s="32">
        <v>15450</v>
      </c>
      <c r="H39" s="68">
        <v>1500</v>
      </c>
      <c r="I39" s="68">
        <v>1500</v>
      </c>
      <c r="J39" s="68">
        <v>1500</v>
      </c>
      <c r="K39" s="68">
        <v>1500</v>
      </c>
      <c r="L39" s="68">
        <v>1500</v>
      </c>
      <c r="M39" s="68">
        <v>1500</v>
      </c>
      <c r="N39" s="68">
        <v>1500</v>
      </c>
      <c r="O39" s="56">
        <v>1500</v>
      </c>
      <c r="P39" s="56">
        <v>1500</v>
      </c>
      <c r="Q39" s="56">
        <v>1500</v>
      </c>
      <c r="R39" s="56">
        <v>1500</v>
      </c>
    </row>
    <row r="40" spans="2:18">
      <c r="E40" s="23">
        <v>12</v>
      </c>
      <c r="F40" s="10"/>
      <c r="G40" s="32"/>
      <c r="H40" s="68"/>
      <c r="I40" s="68"/>
      <c r="J40" s="68"/>
      <c r="K40" s="68"/>
      <c r="L40" s="68"/>
      <c r="M40" s="68"/>
      <c r="N40" s="68"/>
      <c r="O40" s="56"/>
      <c r="P40" s="56"/>
      <c r="Q40" s="56"/>
      <c r="R40" s="56"/>
    </row>
    <row r="41" spans="2:18">
      <c r="E41" s="23">
        <v>13</v>
      </c>
      <c r="F41" s="10"/>
      <c r="G41" s="32"/>
      <c r="H41" s="68"/>
      <c r="I41" s="68"/>
      <c r="J41" s="68"/>
      <c r="K41" s="68"/>
      <c r="L41" s="68"/>
      <c r="M41" s="68"/>
      <c r="N41" s="68"/>
      <c r="O41" s="56"/>
      <c r="P41" s="56"/>
      <c r="Q41" s="56"/>
      <c r="R41" s="56"/>
    </row>
    <row r="42" spans="2:18">
      <c r="E42" s="23">
        <v>14</v>
      </c>
      <c r="F42" s="10"/>
      <c r="G42" s="32"/>
      <c r="H42" s="68"/>
      <c r="I42" s="68"/>
      <c r="J42" s="68"/>
      <c r="K42" s="68"/>
      <c r="L42" s="68"/>
      <c r="M42" s="68"/>
      <c r="N42" s="68"/>
      <c r="O42" s="56"/>
      <c r="P42" s="56"/>
      <c r="Q42" s="56"/>
      <c r="R42" s="56"/>
    </row>
    <row r="43" spans="2:18">
      <c r="E43" s="23">
        <v>15</v>
      </c>
      <c r="F43" s="10"/>
      <c r="G43" s="32"/>
      <c r="H43" s="68"/>
      <c r="I43" s="68"/>
      <c r="J43" s="68"/>
      <c r="K43" s="68"/>
      <c r="L43" s="68"/>
      <c r="M43" s="68"/>
      <c r="N43" s="68"/>
      <c r="O43" s="56"/>
      <c r="P43" s="56"/>
      <c r="Q43" s="56"/>
      <c r="R43" s="56"/>
    </row>
    <row r="44" spans="2:18">
      <c r="E44" s="23">
        <v>16</v>
      </c>
      <c r="F44" s="10"/>
      <c r="G44" s="32"/>
      <c r="H44" s="68"/>
      <c r="I44" s="68"/>
      <c r="J44" s="68"/>
      <c r="K44" s="68"/>
      <c r="L44" s="68"/>
      <c r="M44" s="68"/>
      <c r="N44" s="68"/>
      <c r="O44" s="56"/>
      <c r="P44" s="56"/>
      <c r="Q44" s="56"/>
      <c r="R44" s="56"/>
    </row>
    <row r="45" spans="2:18">
      <c r="E45" s="23">
        <v>17</v>
      </c>
      <c r="F45" s="10"/>
      <c r="G45" s="32"/>
      <c r="H45" s="68"/>
      <c r="I45" s="68"/>
      <c r="J45" s="68"/>
      <c r="K45" s="68"/>
      <c r="L45" s="68"/>
      <c r="M45" s="68"/>
      <c r="N45" s="68"/>
      <c r="O45" s="56"/>
      <c r="P45" s="56"/>
      <c r="Q45" s="56"/>
      <c r="R45" s="56"/>
    </row>
    <row r="46" spans="2:18">
      <c r="E46" s="23">
        <v>18</v>
      </c>
      <c r="F46" s="10"/>
      <c r="G46" s="32"/>
      <c r="H46" s="68"/>
      <c r="I46" s="68"/>
      <c r="J46" s="68"/>
      <c r="K46" s="68"/>
      <c r="L46" s="68"/>
      <c r="M46" s="68"/>
      <c r="N46" s="68"/>
      <c r="O46" s="56"/>
      <c r="P46" s="56"/>
      <c r="Q46" s="56"/>
      <c r="R46" s="56"/>
    </row>
    <row r="47" spans="2:18">
      <c r="E47" s="23">
        <v>19</v>
      </c>
      <c r="F47" s="10"/>
      <c r="G47" s="32"/>
      <c r="H47" s="68"/>
      <c r="I47" s="68"/>
      <c r="J47" s="68"/>
      <c r="K47" s="68"/>
      <c r="L47" s="68"/>
      <c r="M47" s="68"/>
      <c r="N47" s="68"/>
      <c r="O47" s="56"/>
      <c r="P47" s="56"/>
      <c r="Q47" s="56"/>
      <c r="R47" s="56"/>
    </row>
    <row r="48" spans="2:18">
      <c r="E48" s="23">
        <v>20</v>
      </c>
      <c r="F48" s="10"/>
      <c r="G48" s="32"/>
      <c r="H48" s="68"/>
      <c r="I48" s="68"/>
      <c r="J48" s="68"/>
      <c r="K48" s="68"/>
      <c r="L48" s="68"/>
      <c r="M48" s="68"/>
      <c r="N48" s="68"/>
      <c r="O48" s="56"/>
      <c r="P48" s="56"/>
      <c r="Q48" s="56"/>
      <c r="R48" s="56"/>
    </row>
    <row r="49" spans="5:18">
      <c r="E49"/>
      <c r="F49" s="29" t="s">
        <v>98</v>
      </c>
      <c r="H49" s="69"/>
      <c r="I49" s="69">
        <v>0</v>
      </c>
      <c r="J49" s="69">
        <v>0</v>
      </c>
      <c r="K49" s="69">
        <v>0</v>
      </c>
      <c r="L49" s="4">
        <v>0</v>
      </c>
      <c r="M49" s="4">
        <v>0</v>
      </c>
      <c r="N49" s="4">
        <v>0</v>
      </c>
      <c r="O49">
        <v>0</v>
      </c>
      <c r="P49">
        <v>0</v>
      </c>
      <c r="Q49">
        <v>0</v>
      </c>
      <c r="R49">
        <v>0</v>
      </c>
    </row>
    <row r="50" spans="5:18">
      <c r="E50"/>
      <c r="H50" s="69"/>
      <c r="I50" s="69"/>
      <c r="J50" s="69"/>
      <c r="K50" s="69"/>
    </row>
    <row r="51" spans="5:18">
      <c r="E51"/>
      <c r="F51" s="47" t="s">
        <v>100</v>
      </c>
      <c r="H51" s="70">
        <f>SUM(H29:H50)</f>
        <v>15000</v>
      </c>
      <c r="I51" s="70">
        <f>SUM(I29:I50)</f>
        <v>15000</v>
      </c>
      <c r="J51" s="70">
        <f t="shared" ref="J51:R51" si="0">SUM(J29:J50)</f>
        <v>15400</v>
      </c>
      <c r="K51" s="70">
        <f t="shared" si="0"/>
        <v>15800</v>
      </c>
      <c r="L51" s="71">
        <f t="shared" si="0"/>
        <v>16200</v>
      </c>
      <c r="M51" s="71">
        <f t="shared" si="0"/>
        <v>16600</v>
      </c>
      <c r="N51" s="71">
        <f t="shared" si="0"/>
        <v>17000</v>
      </c>
      <c r="O51" s="53">
        <f t="shared" si="0"/>
        <v>17400</v>
      </c>
      <c r="P51" s="53">
        <f t="shared" si="0"/>
        <v>17800</v>
      </c>
      <c r="Q51" s="53">
        <f t="shared" si="0"/>
        <v>18200</v>
      </c>
      <c r="R51" s="53">
        <f t="shared" si="0"/>
        <v>18600</v>
      </c>
    </row>
    <row r="52" spans="5:18">
      <c r="E52"/>
      <c r="H52" s="32" t="s">
        <v>18</v>
      </c>
      <c r="I52" s="72" t="s">
        <v>105</v>
      </c>
      <c r="J52" s="72" t="s">
        <v>106</v>
      </c>
      <c r="K52" s="72" t="s">
        <v>107</v>
      </c>
      <c r="L52" s="72" t="s">
        <v>96</v>
      </c>
      <c r="M52" s="72" t="s">
        <v>108</v>
      </c>
      <c r="N52" s="72" t="s">
        <v>96</v>
      </c>
      <c r="O52" s="54" t="s">
        <v>109</v>
      </c>
      <c r="P52" s="54" t="s">
        <v>110</v>
      </c>
      <c r="Q52" s="54" t="s">
        <v>111</v>
      </c>
      <c r="R52" s="54" t="s">
        <v>111</v>
      </c>
    </row>
    <row r="100" spans="1:1">
      <c r="A100" s="30">
        <f>SUM(L3:L23)</f>
        <v>0</v>
      </c>
    </row>
  </sheetData>
  <mergeCells count="6">
    <mergeCell ref="P1:R1"/>
    <mergeCell ref="A1:B1"/>
    <mergeCell ref="E1:N1"/>
    <mergeCell ref="A18:B18"/>
    <mergeCell ref="E27:R27"/>
    <mergeCell ref="E26:R2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Group Box 1">
              <controlPr defaultSize="0" autoFill="0" autoPict="0">
                <anchor moveWithCells="1">
                  <from>
                    <xdr:col>0</xdr:col>
                    <xdr:colOff>171450</xdr:colOff>
                    <xdr:row>26</xdr:row>
                    <xdr:rowOff>133350</xdr:rowOff>
                  </from>
                  <to>
                    <xdr:col>1</xdr:col>
                    <xdr:colOff>19050</xdr:colOff>
                    <xdr:row>36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alculate">
                <anchor moveWithCells="1" sizeWithCells="1">
                  <from>
                    <xdr:col>0</xdr:col>
                    <xdr:colOff>409575</xdr:colOff>
                    <xdr:row>28</xdr:row>
                    <xdr:rowOff>9525</xdr:rowOff>
                  </from>
                  <to>
                    <xdr:col>0</xdr:col>
                    <xdr:colOff>1885950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wner_calculation">
                <anchor moveWithCells="1" sizeWithCells="1">
                  <from>
                    <xdr:col>0</xdr:col>
                    <xdr:colOff>409575</xdr:colOff>
                    <xdr:row>31</xdr:row>
                    <xdr:rowOff>9525</xdr:rowOff>
                  </from>
                  <to>
                    <xdr:col>0</xdr:col>
                    <xdr:colOff>2952750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_xludf.clear">
                <anchor moveWithCells="1" sizeWithCells="1">
                  <from>
                    <xdr:col>0</xdr:col>
                    <xdr:colOff>381000</xdr:colOff>
                    <xdr:row>33</xdr:row>
                    <xdr:rowOff>171450</xdr:rowOff>
                  </from>
                  <to>
                    <xdr:col>0</xdr:col>
                    <xdr:colOff>2924175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Button 7">
              <controlPr defaultSize="0" print="0" autoFill="0" autoPict="0" macro="[0]!Credit_dept">
                <anchor moveWithCells="1" sizeWithCells="1">
                  <from>
                    <xdr:col>0</xdr:col>
                    <xdr:colOff>2000250</xdr:colOff>
                    <xdr:row>28</xdr:row>
                    <xdr:rowOff>9525</xdr:rowOff>
                  </from>
                  <to>
                    <xdr:col>0</xdr:col>
                    <xdr:colOff>2990850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9" name="Group Box 16">
              <controlPr defaultSize="0" autoFill="0" autoPict="0">
                <anchor moveWithCells="1">
                  <from>
                    <xdr:col>0</xdr:col>
                    <xdr:colOff>152400</xdr:colOff>
                    <xdr:row>37</xdr:row>
                    <xdr:rowOff>95250</xdr:rowOff>
                  </from>
                  <to>
                    <xdr:col>1</xdr:col>
                    <xdr:colOff>19050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edit_wong">
                <anchor moveWithCells="1" sizeWithCells="1">
                  <from>
                    <xdr:col>0</xdr:col>
                    <xdr:colOff>1724025</xdr:colOff>
                    <xdr:row>38</xdr:row>
                    <xdr:rowOff>161925</xdr:rowOff>
                  </from>
                  <to>
                    <xdr:col>0</xdr:col>
                    <xdr:colOff>2800350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1" name="Button 22">
              <controlPr defaultSize="0" print="0" autoFill="0" autoPict="0" macro="[0]!Update_data">
                <anchor moveWithCells="1" sizeWithCells="1">
                  <from>
                    <xdr:col>0</xdr:col>
                    <xdr:colOff>485775</xdr:colOff>
                    <xdr:row>38</xdr:row>
                    <xdr:rowOff>161925</xdr:rowOff>
                  </from>
                  <to>
                    <xdr:col>0</xdr:col>
                    <xdr:colOff>1581150</xdr:colOff>
                    <xdr:row>40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Members!$A$3:$A$500</xm:f>
          </x14:formula1>
          <xm:sqref>F4:F23 F30:F48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"/>
  <sheetViews>
    <sheetView workbookViewId="0">
      <selection activeCell="F39" sqref="F39"/>
    </sheetView>
  </sheetViews>
  <sheetFormatPr defaultRowHeight="15"/>
  <cols>
    <col min="1" max="1" width="18.140625" style="99" customWidth="1"/>
    <col min="2" max="2" width="8.5703125" bestFit="1" customWidth="1"/>
    <col min="3" max="3" width="6.85546875" bestFit="1" customWidth="1"/>
    <col min="4" max="4" width="7.42578125" bestFit="1" customWidth="1"/>
    <col min="5" max="5" width="6.140625" bestFit="1" customWidth="1"/>
  </cols>
  <sheetData>
    <row r="1" spans="1:10">
      <c r="A1" s="99" t="s">
        <v>54</v>
      </c>
      <c r="B1" t="s">
        <v>81</v>
      </c>
      <c r="C1" t="s">
        <v>82</v>
      </c>
      <c r="D1" t="s">
        <v>83</v>
      </c>
      <c r="E1" t="s">
        <v>102</v>
      </c>
      <c r="F1" t="s">
        <v>75</v>
      </c>
      <c r="G1" t="s">
        <v>23</v>
      </c>
      <c r="H1" t="s">
        <v>19</v>
      </c>
      <c r="I1" t="s">
        <v>103</v>
      </c>
      <c r="J1" t="s">
        <v>104</v>
      </c>
    </row>
    <row r="2" spans="1:10">
      <c r="A2" s="99">
        <v>43028</v>
      </c>
      <c r="B2" t="s">
        <v>66</v>
      </c>
      <c r="C2" s="29" t="s">
        <v>18</v>
      </c>
      <c r="E2">
        <v>2500</v>
      </c>
      <c r="H2">
        <v>500</v>
      </c>
    </row>
    <row r="3" spans="1:10">
      <c r="A3" s="99">
        <v>43029</v>
      </c>
      <c r="B3" t="s">
        <v>66</v>
      </c>
      <c r="C3" s="29" t="s">
        <v>3</v>
      </c>
      <c r="G3">
        <v>-1250</v>
      </c>
    </row>
    <row r="4" spans="1:10">
      <c r="A4" s="99">
        <v>43030</v>
      </c>
      <c r="B4" t="s">
        <v>66</v>
      </c>
      <c r="C4" s="29" t="s">
        <v>1</v>
      </c>
      <c r="G4">
        <v>-1250</v>
      </c>
    </row>
    <row r="5" spans="1:10">
      <c r="A5" s="99">
        <v>43031</v>
      </c>
      <c r="B5" t="s">
        <v>66</v>
      </c>
      <c r="C5" s="29" t="s">
        <v>2</v>
      </c>
      <c r="G5">
        <v>-1250</v>
      </c>
    </row>
    <row r="6" spans="1:10">
      <c r="A6" s="99">
        <v>43032</v>
      </c>
      <c r="B6" t="s">
        <v>66</v>
      </c>
      <c r="C6" s="29" t="s">
        <v>4</v>
      </c>
      <c r="G6">
        <v>-1250</v>
      </c>
    </row>
    <row r="7" spans="1:10">
      <c r="A7" s="99">
        <v>43033</v>
      </c>
      <c r="B7" t="s">
        <v>66</v>
      </c>
      <c r="C7" s="29" t="s">
        <v>5</v>
      </c>
      <c r="G7">
        <v>-1250</v>
      </c>
    </row>
    <row r="8" spans="1:10">
      <c r="A8" s="99">
        <v>43034</v>
      </c>
      <c r="B8" t="s">
        <v>66</v>
      </c>
      <c r="C8" s="29" t="s">
        <v>5</v>
      </c>
      <c r="G8">
        <v>-1250</v>
      </c>
    </row>
    <row r="9" spans="1:10">
      <c r="A9" s="99">
        <v>43035</v>
      </c>
      <c r="B9" t="s">
        <v>66</v>
      </c>
      <c r="C9" s="29" t="s">
        <v>6</v>
      </c>
      <c r="G9">
        <v>-1250</v>
      </c>
    </row>
    <row r="10" spans="1:10">
      <c r="A10" s="99">
        <v>43036</v>
      </c>
      <c r="B10" t="s">
        <v>66</v>
      </c>
      <c r="C10" s="29" t="s">
        <v>6</v>
      </c>
      <c r="G10">
        <v>-1250</v>
      </c>
    </row>
    <row r="11" spans="1:10">
      <c r="A11" s="99">
        <v>43037</v>
      </c>
      <c r="B11" t="s">
        <v>66</v>
      </c>
      <c r="C11" s="29" t="s">
        <v>4</v>
      </c>
      <c r="G11">
        <v>-1250</v>
      </c>
    </row>
    <row r="12" spans="1:10">
      <c r="A12" s="99">
        <v>43038</v>
      </c>
      <c r="B12" t="s">
        <v>66</v>
      </c>
      <c r="C12" t="s">
        <v>4</v>
      </c>
      <c r="G12">
        <v>-1250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G15"/>
  <sheetViews>
    <sheetView workbookViewId="0">
      <selection activeCell="C24" sqref="C24"/>
    </sheetView>
  </sheetViews>
  <sheetFormatPr defaultRowHeight="15"/>
  <cols>
    <col min="1" max="1" width="16.85546875" style="29" customWidth="1"/>
    <col min="2" max="2" width="14.85546875" bestFit="1" customWidth="1"/>
    <col min="3" max="3" width="14.5703125" bestFit="1" customWidth="1"/>
    <col min="4" max="4" width="13.7109375" customWidth="1"/>
    <col min="5" max="6" width="14.42578125" bestFit="1" customWidth="1"/>
    <col min="7" max="7" width="13.140625" bestFit="1" customWidth="1"/>
  </cols>
  <sheetData>
    <row r="2" spans="1:7">
      <c r="B2" s="87" t="s">
        <v>57</v>
      </c>
      <c r="C2" s="87"/>
      <c r="D2" s="87"/>
      <c r="E2" s="85" t="s">
        <v>56</v>
      </c>
      <c r="F2" s="85"/>
      <c r="G2" s="35" t="s">
        <v>90</v>
      </c>
    </row>
    <row r="3" spans="1:7">
      <c r="A3" s="100" t="s">
        <v>69</v>
      </c>
      <c r="B3" t="s">
        <v>84</v>
      </c>
      <c r="C3" t="s">
        <v>85</v>
      </c>
      <c r="D3" t="s">
        <v>86</v>
      </c>
      <c r="E3" t="s">
        <v>87</v>
      </c>
    </row>
    <row r="4" spans="1:7">
      <c r="A4" s="101">
        <v>43028</v>
      </c>
      <c r="B4" s="25"/>
      <c r="C4" s="25"/>
      <c r="D4" s="25"/>
      <c r="E4" s="25">
        <v>500</v>
      </c>
    </row>
    <row r="5" spans="1:7">
      <c r="A5" s="101">
        <v>43029</v>
      </c>
      <c r="B5" s="25"/>
      <c r="C5" s="25"/>
      <c r="D5" s="25">
        <v>-1250</v>
      </c>
      <c r="E5" s="25"/>
    </row>
    <row r="6" spans="1:7">
      <c r="A6" s="101">
        <v>43030</v>
      </c>
      <c r="B6" s="25"/>
      <c r="C6" s="25"/>
      <c r="D6" s="25">
        <v>-1250</v>
      </c>
      <c r="E6" s="25"/>
    </row>
    <row r="7" spans="1:7">
      <c r="A7" s="101">
        <v>43031</v>
      </c>
      <c r="B7" s="25"/>
      <c r="C7" s="25"/>
      <c r="D7" s="25">
        <v>-1250</v>
      </c>
      <c r="E7" s="25"/>
    </row>
    <row r="8" spans="1:7">
      <c r="A8" s="101">
        <v>43032</v>
      </c>
      <c r="B8" s="25"/>
      <c r="C8" s="25"/>
      <c r="D8" s="25">
        <v>-1250</v>
      </c>
      <c r="E8" s="25"/>
    </row>
    <row r="9" spans="1:7">
      <c r="A9" s="101">
        <v>43033</v>
      </c>
      <c r="B9" s="25"/>
      <c r="C9" s="25"/>
      <c r="D9" s="25">
        <v>-1250</v>
      </c>
      <c r="E9" s="25"/>
    </row>
    <row r="10" spans="1:7">
      <c r="A10" s="101">
        <v>43034</v>
      </c>
      <c r="B10" s="25"/>
      <c r="C10" s="25"/>
      <c r="D10" s="25">
        <v>-1250</v>
      </c>
      <c r="E10" s="25"/>
    </row>
    <row r="11" spans="1:7">
      <c r="A11" s="101">
        <v>43035</v>
      </c>
      <c r="B11" s="61"/>
      <c r="C11" s="25"/>
      <c r="D11" s="25">
        <v>-1250</v>
      </c>
      <c r="E11" s="25"/>
    </row>
    <row r="12" spans="1:7">
      <c r="A12" s="101">
        <v>43036</v>
      </c>
      <c r="B12" s="25"/>
      <c r="C12" s="25"/>
      <c r="D12" s="25">
        <v>-1250</v>
      </c>
      <c r="E12" s="25"/>
    </row>
    <row r="13" spans="1:7">
      <c r="A13" s="101">
        <v>43037</v>
      </c>
      <c r="B13" s="25"/>
      <c r="C13" s="25"/>
      <c r="D13" s="25">
        <v>-1250</v>
      </c>
      <c r="E13" s="25"/>
    </row>
    <row r="14" spans="1:7">
      <c r="A14" s="101">
        <v>43038</v>
      </c>
      <c r="B14" s="25"/>
      <c r="C14" s="25"/>
      <c r="D14" s="25">
        <v>-1250</v>
      </c>
      <c r="E14" s="25"/>
    </row>
    <row r="15" spans="1:7">
      <c r="A15" s="101" t="s">
        <v>70</v>
      </c>
      <c r="B15" s="25"/>
      <c r="C15" s="25"/>
      <c r="D15" s="25">
        <v>-12500</v>
      </c>
      <c r="E15" s="25">
        <v>500</v>
      </c>
    </row>
  </sheetData>
  <mergeCells count="2">
    <mergeCell ref="B2:D2"/>
    <mergeCell ref="E2:F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B11"/>
  <sheetViews>
    <sheetView workbookViewId="0">
      <selection activeCell="G28" sqref="G28"/>
    </sheetView>
  </sheetViews>
  <sheetFormatPr defaultRowHeight="15"/>
  <cols>
    <col min="1" max="1" width="13.140625" bestFit="1" customWidth="1"/>
    <col min="2" max="2" width="13.7109375" customWidth="1"/>
  </cols>
  <sheetData>
    <row r="3" spans="1:2">
      <c r="A3" s="43" t="s">
        <v>69</v>
      </c>
      <c r="B3" t="s">
        <v>86</v>
      </c>
    </row>
    <row r="4" spans="1:2">
      <c r="A4" s="44" t="s">
        <v>1</v>
      </c>
      <c r="B4" s="25">
        <v>-1250</v>
      </c>
    </row>
    <row r="5" spans="1:2">
      <c r="A5" s="44" t="s">
        <v>4</v>
      </c>
      <c r="B5" s="25">
        <v>-3750</v>
      </c>
    </row>
    <row r="6" spans="1:2">
      <c r="A6" s="44" t="s">
        <v>18</v>
      </c>
      <c r="B6" s="25"/>
    </row>
    <row r="7" spans="1:2">
      <c r="A7" s="44" t="s">
        <v>5</v>
      </c>
      <c r="B7" s="25">
        <v>-2500</v>
      </c>
    </row>
    <row r="8" spans="1:2">
      <c r="A8" s="44" t="s">
        <v>3</v>
      </c>
      <c r="B8" s="25">
        <v>-1250</v>
      </c>
    </row>
    <row r="9" spans="1:2">
      <c r="A9" s="44" t="s">
        <v>6</v>
      </c>
      <c r="B9" s="25">
        <v>-2500</v>
      </c>
    </row>
    <row r="10" spans="1:2">
      <c r="A10" s="44" t="s">
        <v>2</v>
      </c>
      <c r="B10" s="25">
        <v>-1250</v>
      </c>
    </row>
    <row r="11" spans="1:2">
      <c r="A11" s="44" t="s">
        <v>70</v>
      </c>
      <c r="B11" s="25">
        <v>-12500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4"/>
  <sheetViews>
    <sheetView workbookViewId="0">
      <selection activeCell="I18" sqref="I18"/>
    </sheetView>
  </sheetViews>
  <sheetFormatPr defaultRowHeight="16.5" customHeight="1"/>
  <cols>
    <col min="1" max="1" width="14.28515625" style="13" bestFit="1" customWidth="1"/>
    <col min="2" max="2" width="8.5703125" style="3" bestFit="1" customWidth="1"/>
    <col min="3" max="3" width="13.7109375" style="32" bestFit="1" customWidth="1"/>
    <col min="4" max="4" width="8.85546875" style="9" bestFit="1" customWidth="1"/>
    <col min="5" max="5" width="9.5703125" style="9" bestFit="1" customWidth="1"/>
    <col min="6" max="6" width="7.140625" style="9" bestFit="1" customWidth="1"/>
    <col min="7" max="7" width="10.5703125" style="9" bestFit="1" customWidth="1"/>
    <col min="9" max="9" width="14.28515625" style="13" bestFit="1" customWidth="1"/>
    <col min="10" max="10" width="10" style="3" bestFit="1" customWidth="1"/>
    <col min="11" max="11" width="15" style="9" bestFit="1" customWidth="1"/>
    <col min="12" max="12" width="14.85546875" style="32" customWidth="1"/>
    <col min="13" max="13" width="19.28515625" style="32" customWidth="1"/>
  </cols>
  <sheetData>
    <row r="1" spans="1:13" ht="16.5" customHeight="1">
      <c r="A1" s="90" t="s">
        <v>56</v>
      </c>
      <c r="B1" s="90"/>
      <c r="C1" s="90"/>
      <c r="D1" s="90"/>
      <c r="E1" s="90"/>
      <c r="F1" s="90"/>
      <c r="G1" s="90"/>
      <c r="I1" s="91" t="s">
        <v>57</v>
      </c>
      <c r="J1" s="91"/>
      <c r="K1" s="91"/>
      <c r="L1" s="91"/>
      <c r="M1" s="91"/>
    </row>
    <row r="2" spans="1:13" s="2" customFormat="1" ht="33.75" customHeight="1">
      <c r="A2" s="40" t="s">
        <v>72</v>
      </c>
      <c r="B2" s="1" t="s">
        <v>39</v>
      </c>
      <c r="C2" s="41" t="s">
        <v>73</v>
      </c>
      <c r="D2" s="42" t="s">
        <v>74</v>
      </c>
      <c r="E2" s="42" t="s">
        <v>23</v>
      </c>
      <c r="F2" s="42" t="s">
        <v>75</v>
      </c>
      <c r="G2" s="42" t="s">
        <v>76</v>
      </c>
      <c r="H2" s="1"/>
      <c r="I2" s="40" t="s">
        <v>77</v>
      </c>
      <c r="J2" s="28" t="s">
        <v>39</v>
      </c>
      <c r="K2" s="42" t="s">
        <v>78</v>
      </c>
      <c r="L2" s="41" t="s">
        <v>88</v>
      </c>
      <c r="M2" s="75" t="s">
        <v>89</v>
      </c>
    </row>
    <row r="3" spans="1:13" ht="16.5" customHeight="1">
      <c r="A3" s="13">
        <v>43028</v>
      </c>
      <c r="B3" s="3" t="s">
        <v>66</v>
      </c>
      <c r="C3" s="33">
        <v>2500</v>
      </c>
      <c r="D3" s="33">
        <v>500</v>
      </c>
      <c r="E3" s="33"/>
      <c r="F3" s="33"/>
      <c r="G3" s="33">
        <f>(C3+D3)-E3-F3</f>
        <v>3000</v>
      </c>
      <c r="H3" s="4"/>
      <c r="I3" s="34">
        <v>43029</v>
      </c>
      <c r="J3" s="32" t="s">
        <v>66</v>
      </c>
      <c r="K3" s="33">
        <v>1000</v>
      </c>
      <c r="L3" s="33">
        <v>1000</v>
      </c>
      <c r="M3" s="33">
        <f>G34-L3</f>
        <v>12500</v>
      </c>
    </row>
    <row r="4" spans="1:13" ht="16.5" customHeight="1">
      <c r="A4" s="13">
        <v>43029</v>
      </c>
      <c r="B4" s="3" t="s">
        <v>67</v>
      </c>
      <c r="C4" s="33">
        <v>2500</v>
      </c>
      <c r="D4" s="33">
        <v>500</v>
      </c>
      <c r="E4" s="33"/>
      <c r="F4" s="33"/>
      <c r="G4" s="33">
        <f t="shared" ref="G4:G5" si="0">(C4+D4)-E4-F4</f>
        <v>3000</v>
      </c>
      <c r="H4" s="4"/>
      <c r="I4" s="34">
        <v>43030</v>
      </c>
      <c r="J4" s="32" t="s">
        <v>66</v>
      </c>
      <c r="K4" s="33">
        <v>1000</v>
      </c>
      <c r="L4" s="92">
        <v>2000</v>
      </c>
      <c r="M4" s="88">
        <f>G34-L3-L4</f>
        <v>10500</v>
      </c>
    </row>
    <row r="5" spans="1:13" ht="16.5" customHeight="1">
      <c r="A5" s="13">
        <v>43031</v>
      </c>
      <c r="B5" s="3" t="s">
        <v>94</v>
      </c>
      <c r="C5" s="33">
        <v>15000</v>
      </c>
      <c r="D5" s="33">
        <v>0</v>
      </c>
      <c r="E5" s="33">
        <v>7500</v>
      </c>
      <c r="F5" s="33"/>
      <c r="G5" s="33">
        <f t="shared" si="0"/>
        <v>7500</v>
      </c>
      <c r="H5" s="4"/>
      <c r="I5" s="34">
        <v>43030</v>
      </c>
      <c r="J5" s="32" t="s">
        <v>67</v>
      </c>
      <c r="K5" s="33">
        <v>1000</v>
      </c>
      <c r="L5" s="93"/>
      <c r="M5" s="89"/>
    </row>
    <row r="6" spans="1:13" ht="16.5" customHeight="1">
      <c r="A6" s="13">
        <v>43032</v>
      </c>
      <c r="B6" s="3" t="s">
        <v>65</v>
      </c>
      <c r="C6" s="33"/>
      <c r="D6" s="31"/>
      <c r="E6" s="31"/>
      <c r="F6" s="31"/>
      <c r="G6" s="33"/>
      <c r="I6" s="34">
        <v>43031</v>
      </c>
      <c r="J6" s="32" t="s">
        <v>66</v>
      </c>
      <c r="K6" s="33">
        <v>1000</v>
      </c>
      <c r="L6" s="92">
        <v>2000</v>
      </c>
      <c r="M6" s="92">
        <f>G34-L3-L4-L6</f>
        <v>8500</v>
      </c>
    </row>
    <row r="7" spans="1:13" ht="16.5" customHeight="1">
      <c r="I7" s="34">
        <v>43031</v>
      </c>
      <c r="J7" s="32" t="s">
        <v>67</v>
      </c>
      <c r="K7" s="33">
        <v>1000</v>
      </c>
      <c r="L7" s="93"/>
      <c r="M7" s="93"/>
    </row>
    <row r="8" spans="1:13" ht="16.5" customHeight="1">
      <c r="I8" s="34">
        <v>43032</v>
      </c>
      <c r="J8" s="32" t="s">
        <v>66</v>
      </c>
      <c r="K8" s="33">
        <v>1000</v>
      </c>
      <c r="L8" s="88">
        <v>2000</v>
      </c>
      <c r="M8" s="88">
        <f>SUM(G34-L3-L4-L6-L8)</f>
        <v>6500</v>
      </c>
    </row>
    <row r="9" spans="1:13" ht="16.5" customHeight="1">
      <c r="I9" s="34">
        <v>43032</v>
      </c>
      <c r="J9" s="32" t="s">
        <v>67</v>
      </c>
      <c r="K9" s="33">
        <v>1000</v>
      </c>
      <c r="L9" s="89"/>
      <c r="M9" s="89"/>
    </row>
    <row r="34" spans="1:7" ht="16.5" customHeight="1">
      <c r="A34" s="13" t="s">
        <v>97</v>
      </c>
      <c r="G34" s="9">
        <f>SUM(G3:G33)</f>
        <v>13500</v>
      </c>
    </row>
  </sheetData>
  <mergeCells count="8">
    <mergeCell ref="L8:L9"/>
    <mergeCell ref="M8:M9"/>
    <mergeCell ref="A1:G1"/>
    <mergeCell ref="I1:M1"/>
    <mergeCell ref="L4:L5"/>
    <mergeCell ref="M4:M5"/>
    <mergeCell ref="L6:L7"/>
    <mergeCell ref="M6:M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63"/>
  <sheetViews>
    <sheetView workbookViewId="0">
      <selection activeCell="N62" sqref="N62"/>
    </sheetView>
  </sheetViews>
  <sheetFormatPr defaultRowHeight="15"/>
  <cols>
    <col min="1" max="1" width="3.5703125" bestFit="1" customWidth="1"/>
    <col min="2" max="2" width="16.5703125" bestFit="1" customWidth="1"/>
    <col min="3" max="3" width="10.5703125" bestFit="1" customWidth="1"/>
    <col min="4" max="5" width="10.7109375" bestFit="1" customWidth="1"/>
    <col min="6" max="6" width="10.5703125" bestFit="1" customWidth="1"/>
    <col min="7" max="9" width="10.7109375" bestFit="1" customWidth="1"/>
    <col min="10" max="10" width="10.5703125" bestFit="1" customWidth="1"/>
    <col min="11" max="11" width="7.42578125" bestFit="1" customWidth="1"/>
    <col min="12" max="13" width="10.7109375" bestFit="1" customWidth="1"/>
    <col min="14" max="14" width="8.7109375" bestFit="1" customWidth="1"/>
    <col min="15" max="15" width="18" customWidth="1"/>
  </cols>
  <sheetData>
    <row r="1" spans="1:14">
      <c r="A1" s="94" t="s">
        <v>66</v>
      </c>
      <c r="B1" s="94"/>
      <c r="C1" s="94"/>
    </row>
    <row r="2" spans="1:14">
      <c r="A2" s="21" t="s">
        <v>51</v>
      </c>
      <c r="B2" s="21" t="s">
        <v>22</v>
      </c>
      <c r="C2" s="21" t="s">
        <v>47</v>
      </c>
      <c r="D2" s="51">
        <v>43028</v>
      </c>
      <c r="E2" s="51">
        <v>43029</v>
      </c>
      <c r="F2" s="51">
        <v>43030</v>
      </c>
      <c r="G2" s="51">
        <v>43031</v>
      </c>
      <c r="H2" s="51">
        <v>43032</v>
      </c>
      <c r="I2" s="51">
        <v>43033</v>
      </c>
      <c r="J2" s="51">
        <v>43034</v>
      </c>
      <c r="K2" s="51">
        <v>43035</v>
      </c>
      <c r="L2" s="51">
        <v>43036</v>
      </c>
      <c r="M2" s="51">
        <v>43037</v>
      </c>
      <c r="N2" s="51">
        <v>43038</v>
      </c>
    </row>
    <row r="3" spans="1:14">
      <c r="A3" s="23">
        <v>1</v>
      </c>
      <c r="B3" s="11" t="s">
        <v>18</v>
      </c>
      <c r="C3" s="8">
        <v>2500</v>
      </c>
      <c r="E3" s="46">
        <v>1000</v>
      </c>
      <c r="F3" s="46">
        <v>1000</v>
      </c>
      <c r="G3" s="46">
        <v>1000</v>
      </c>
      <c r="H3">
        <v>1000</v>
      </c>
      <c r="I3">
        <v>1000</v>
      </c>
      <c r="J3">
        <v>1000</v>
      </c>
      <c r="K3">
        <v>1000</v>
      </c>
      <c r="L3">
        <v>1000</v>
      </c>
      <c r="M3">
        <v>1000</v>
      </c>
      <c r="N3">
        <v>1000</v>
      </c>
    </row>
    <row r="4" spans="1:14">
      <c r="A4" s="24">
        <v>2</v>
      </c>
      <c r="B4" s="29" t="s">
        <v>3</v>
      </c>
      <c r="C4" s="8">
        <v>5000</v>
      </c>
      <c r="D4" s="46">
        <v>250</v>
      </c>
      <c r="E4" s="46">
        <v>400</v>
      </c>
      <c r="F4" s="46">
        <v>450</v>
      </c>
      <c r="G4" s="46">
        <v>450</v>
      </c>
      <c r="H4">
        <v>450</v>
      </c>
      <c r="I4">
        <v>450</v>
      </c>
      <c r="J4">
        <v>450</v>
      </c>
      <c r="K4">
        <v>450</v>
      </c>
      <c r="L4">
        <v>450</v>
      </c>
      <c r="M4">
        <v>450</v>
      </c>
      <c r="N4">
        <v>450</v>
      </c>
    </row>
    <row r="5" spans="1:14">
      <c r="A5" s="24">
        <v>3</v>
      </c>
      <c r="B5" s="29" t="s">
        <v>1</v>
      </c>
      <c r="C5" s="8">
        <v>5050</v>
      </c>
      <c r="D5" s="46">
        <v>250</v>
      </c>
      <c r="E5" s="46">
        <v>400</v>
      </c>
      <c r="F5" s="46">
        <v>400</v>
      </c>
      <c r="G5" s="46">
        <v>450</v>
      </c>
      <c r="H5">
        <v>450</v>
      </c>
      <c r="I5">
        <v>450</v>
      </c>
      <c r="J5">
        <v>450</v>
      </c>
      <c r="K5">
        <v>450</v>
      </c>
      <c r="L5">
        <v>450</v>
      </c>
      <c r="M5">
        <v>450</v>
      </c>
      <c r="N5">
        <v>450</v>
      </c>
    </row>
    <row r="6" spans="1:14">
      <c r="A6" s="24">
        <v>4</v>
      </c>
      <c r="B6" s="29" t="s">
        <v>2</v>
      </c>
      <c r="C6" s="8">
        <v>5100</v>
      </c>
      <c r="D6" s="46">
        <v>250</v>
      </c>
      <c r="E6" s="46">
        <v>400</v>
      </c>
      <c r="F6" s="46">
        <v>400</v>
      </c>
      <c r="G6" s="46">
        <v>400</v>
      </c>
      <c r="H6" s="46">
        <v>450</v>
      </c>
      <c r="I6">
        <v>450</v>
      </c>
      <c r="J6">
        <v>450</v>
      </c>
      <c r="K6">
        <v>450</v>
      </c>
      <c r="L6">
        <v>450</v>
      </c>
      <c r="M6">
        <v>450</v>
      </c>
      <c r="N6">
        <v>450</v>
      </c>
    </row>
    <row r="7" spans="1:14">
      <c r="A7" s="24">
        <v>5</v>
      </c>
      <c r="B7" s="29" t="s">
        <v>4</v>
      </c>
      <c r="C7" s="8">
        <v>5150</v>
      </c>
      <c r="D7" s="46">
        <v>250</v>
      </c>
      <c r="E7" s="46">
        <v>400</v>
      </c>
      <c r="F7" s="46">
        <v>400</v>
      </c>
      <c r="G7" s="46">
        <v>400</v>
      </c>
      <c r="H7" s="62">
        <v>400</v>
      </c>
      <c r="I7">
        <v>450</v>
      </c>
      <c r="J7">
        <v>450</v>
      </c>
      <c r="K7">
        <v>450</v>
      </c>
      <c r="L7">
        <v>450</v>
      </c>
      <c r="M7">
        <v>450</v>
      </c>
      <c r="N7">
        <v>450</v>
      </c>
    </row>
    <row r="8" spans="1:14">
      <c r="A8" s="24">
        <v>6</v>
      </c>
      <c r="B8" s="29" t="s">
        <v>5</v>
      </c>
      <c r="C8" s="8">
        <v>5200</v>
      </c>
      <c r="D8" s="46">
        <v>250</v>
      </c>
      <c r="E8" s="46">
        <v>400</v>
      </c>
      <c r="F8" s="46">
        <v>400</v>
      </c>
      <c r="G8" s="46">
        <v>400</v>
      </c>
      <c r="H8" s="48">
        <v>400</v>
      </c>
      <c r="I8">
        <v>400</v>
      </c>
      <c r="J8">
        <v>450</v>
      </c>
      <c r="K8">
        <v>450</v>
      </c>
      <c r="L8">
        <v>450</v>
      </c>
      <c r="M8">
        <v>450</v>
      </c>
      <c r="N8">
        <v>450</v>
      </c>
    </row>
    <row r="9" spans="1:14">
      <c r="A9" s="24">
        <v>7</v>
      </c>
      <c r="B9" s="29" t="s">
        <v>5</v>
      </c>
      <c r="C9" s="8">
        <v>5250</v>
      </c>
      <c r="D9" s="46">
        <v>250</v>
      </c>
      <c r="E9" s="46">
        <v>400</v>
      </c>
      <c r="F9" s="46">
        <v>400</v>
      </c>
      <c r="G9" s="46">
        <v>400</v>
      </c>
      <c r="H9">
        <v>400</v>
      </c>
      <c r="I9">
        <v>400</v>
      </c>
      <c r="J9">
        <v>400</v>
      </c>
      <c r="K9">
        <v>450</v>
      </c>
      <c r="L9">
        <v>450</v>
      </c>
      <c r="M9">
        <v>450</v>
      </c>
      <c r="N9">
        <v>450</v>
      </c>
    </row>
    <row r="10" spans="1:14">
      <c r="A10" s="24">
        <v>8</v>
      </c>
      <c r="B10" s="29" t="s">
        <v>6</v>
      </c>
      <c r="C10" s="8">
        <v>5300</v>
      </c>
      <c r="D10" s="46">
        <v>250</v>
      </c>
      <c r="E10" s="46">
        <v>400</v>
      </c>
      <c r="F10" s="46">
        <v>400</v>
      </c>
      <c r="G10" s="46">
        <v>400</v>
      </c>
      <c r="H10">
        <v>400</v>
      </c>
      <c r="I10">
        <v>400</v>
      </c>
      <c r="J10">
        <v>400</v>
      </c>
      <c r="K10">
        <v>400</v>
      </c>
      <c r="L10">
        <v>450</v>
      </c>
      <c r="M10">
        <v>450</v>
      </c>
      <c r="N10">
        <v>450</v>
      </c>
    </row>
    <row r="11" spans="1:14">
      <c r="A11" s="24">
        <v>9</v>
      </c>
      <c r="B11" s="29" t="s">
        <v>6</v>
      </c>
      <c r="C11" s="8">
        <v>5350</v>
      </c>
      <c r="D11" s="46">
        <v>250</v>
      </c>
      <c r="E11" s="46">
        <v>400</v>
      </c>
      <c r="F11" s="46">
        <v>400</v>
      </c>
      <c r="G11" s="46">
        <v>400</v>
      </c>
      <c r="H11">
        <v>400</v>
      </c>
      <c r="I11">
        <v>400</v>
      </c>
      <c r="J11">
        <v>400</v>
      </c>
      <c r="K11">
        <v>400</v>
      </c>
      <c r="L11">
        <v>400</v>
      </c>
      <c r="M11">
        <v>450</v>
      </c>
      <c r="N11">
        <v>450</v>
      </c>
    </row>
    <row r="12" spans="1:14">
      <c r="A12" s="24">
        <v>10</v>
      </c>
      <c r="B12" s="29" t="s">
        <v>4</v>
      </c>
      <c r="C12" s="8">
        <v>5400</v>
      </c>
      <c r="D12" s="46">
        <v>250</v>
      </c>
      <c r="E12" s="46">
        <v>400</v>
      </c>
      <c r="F12" s="46">
        <v>400</v>
      </c>
      <c r="G12" s="46">
        <v>400</v>
      </c>
      <c r="H12">
        <v>400</v>
      </c>
      <c r="I12">
        <v>400</v>
      </c>
      <c r="J12">
        <v>400</v>
      </c>
      <c r="K12">
        <v>400</v>
      </c>
      <c r="L12">
        <v>400</v>
      </c>
      <c r="M12">
        <v>400</v>
      </c>
      <c r="N12">
        <v>450</v>
      </c>
    </row>
    <row r="13" spans="1:14">
      <c r="A13" s="24">
        <v>11</v>
      </c>
      <c r="B13" s="10" t="s">
        <v>4</v>
      </c>
      <c r="C13" s="8">
        <v>5450</v>
      </c>
      <c r="D13" s="46">
        <v>250</v>
      </c>
      <c r="E13" s="46">
        <v>400</v>
      </c>
      <c r="F13" s="46">
        <v>400</v>
      </c>
      <c r="G13" s="46">
        <v>400</v>
      </c>
      <c r="H13">
        <v>400</v>
      </c>
      <c r="I13">
        <v>400</v>
      </c>
      <c r="J13">
        <v>400</v>
      </c>
      <c r="K13">
        <v>400</v>
      </c>
      <c r="L13">
        <v>400</v>
      </c>
      <c r="M13">
        <v>400</v>
      </c>
      <c r="N13">
        <v>400</v>
      </c>
    </row>
    <row r="14" spans="1:14">
      <c r="B14" s="29" t="s">
        <v>98</v>
      </c>
      <c r="D14" s="46"/>
      <c r="E14" s="46">
        <f t="shared" ref="E14:N14" si="0">-50</f>
        <v>-50</v>
      </c>
      <c r="F14" s="46">
        <f t="shared" si="0"/>
        <v>-50</v>
      </c>
      <c r="G14" s="46">
        <f t="shared" si="0"/>
        <v>-50</v>
      </c>
      <c r="H14">
        <f t="shared" si="0"/>
        <v>-50</v>
      </c>
      <c r="I14">
        <f t="shared" si="0"/>
        <v>-50</v>
      </c>
      <c r="J14">
        <f t="shared" si="0"/>
        <v>-50</v>
      </c>
      <c r="K14">
        <f t="shared" si="0"/>
        <v>-50</v>
      </c>
      <c r="L14">
        <f t="shared" si="0"/>
        <v>-50</v>
      </c>
      <c r="M14">
        <f t="shared" si="0"/>
        <v>-50</v>
      </c>
      <c r="N14">
        <f t="shared" si="0"/>
        <v>-50</v>
      </c>
    </row>
    <row r="15" spans="1:14">
      <c r="D15" s="46"/>
      <c r="E15" s="46"/>
      <c r="F15" s="46"/>
      <c r="G15" s="46"/>
    </row>
    <row r="16" spans="1:14">
      <c r="B16" s="47" t="s">
        <v>99</v>
      </c>
      <c r="D16" s="52">
        <f>SUM(D3:D15)</f>
        <v>2500</v>
      </c>
      <c r="E16" s="52">
        <f>SUM(E3:E15)</f>
        <v>4950</v>
      </c>
      <c r="F16" s="52">
        <f t="shared" ref="F16:N16" si="1">SUM(F3:F15)</f>
        <v>5000</v>
      </c>
      <c r="G16" s="52">
        <f t="shared" si="1"/>
        <v>5050</v>
      </c>
      <c r="H16" s="53">
        <f t="shared" si="1"/>
        <v>5100</v>
      </c>
      <c r="I16" s="53">
        <f t="shared" si="1"/>
        <v>5150</v>
      </c>
      <c r="J16" s="53">
        <f t="shared" si="1"/>
        <v>5200</v>
      </c>
      <c r="K16" s="53">
        <f t="shared" si="1"/>
        <v>5250</v>
      </c>
      <c r="L16" s="53">
        <f t="shared" si="1"/>
        <v>5300</v>
      </c>
      <c r="M16" s="53">
        <f t="shared" si="1"/>
        <v>5350</v>
      </c>
      <c r="N16" s="53">
        <f t="shared" si="1"/>
        <v>5400</v>
      </c>
    </row>
    <row r="17" spans="1:14">
      <c r="D17" s="3" t="s">
        <v>18</v>
      </c>
      <c r="E17" s="54" t="s">
        <v>3</v>
      </c>
      <c r="F17" s="54" t="s">
        <v>1</v>
      </c>
      <c r="G17" s="54" t="s">
        <v>2</v>
      </c>
      <c r="H17" s="54" t="s">
        <v>4</v>
      </c>
      <c r="I17" s="54" t="s">
        <v>5</v>
      </c>
      <c r="J17" s="54" t="s">
        <v>5</v>
      </c>
      <c r="K17" s="54" t="s">
        <v>6</v>
      </c>
      <c r="L17" s="54" t="s">
        <v>6</v>
      </c>
      <c r="M17" s="54" t="s">
        <v>4</v>
      </c>
      <c r="N17" s="54" t="s">
        <v>4</v>
      </c>
    </row>
    <row r="19" spans="1:14">
      <c r="A19" s="94" t="s">
        <v>67</v>
      </c>
      <c r="B19" s="94"/>
      <c r="C19" s="94"/>
    </row>
    <row r="20" spans="1:14">
      <c r="A20" s="21" t="s">
        <v>51</v>
      </c>
      <c r="B20" s="21" t="s">
        <v>22</v>
      </c>
      <c r="C20" s="21" t="s">
        <v>47</v>
      </c>
      <c r="D20" s="51">
        <v>43029</v>
      </c>
      <c r="E20" s="51">
        <v>43030</v>
      </c>
      <c r="F20" s="51">
        <v>43031</v>
      </c>
      <c r="G20" s="51">
        <v>43032</v>
      </c>
      <c r="H20" s="51">
        <v>43033</v>
      </c>
      <c r="I20" s="51">
        <v>43034</v>
      </c>
      <c r="J20" s="51">
        <v>43035</v>
      </c>
      <c r="K20" s="51">
        <v>43036</v>
      </c>
      <c r="L20" s="51">
        <v>43037</v>
      </c>
      <c r="M20" s="51">
        <v>43038</v>
      </c>
      <c r="N20" s="51">
        <v>43039</v>
      </c>
    </row>
    <row r="21" spans="1:14">
      <c r="A21" s="23">
        <v>1</v>
      </c>
      <c r="B21" s="11" t="s">
        <v>18</v>
      </c>
      <c r="C21" s="8">
        <v>2500</v>
      </c>
      <c r="E21" s="46">
        <v>1000</v>
      </c>
      <c r="F21" s="46">
        <v>1000</v>
      </c>
      <c r="G21">
        <v>1000</v>
      </c>
      <c r="H21">
        <v>1000</v>
      </c>
      <c r="I21">
        <v>1000</v>
      </c>
      <c r="J21">
        <v>1000</v>
      </c>
      <c r="K21">
        <v>1000</v>
      </c>
      <c r="L21">
        <v>1000</v>
      </c>
      <c r="M21">
        <v>1000</v>
      </c>
      <c r="N21">
        <v>1000</v>
      </c>
    </row>
    <row r="22" spans="1:14">
      <c r="A22" s="24">
        <v>2</v>
      </c>
      <c r="B22" s="29" t="s">
        <v>7</v>
      </c>
      <c r="C22" s="8">
        <v>5000</v>
      </c>
      <c r="D22" s="46">
        <v>250</v>
      </c>
      <c r="E22" s="46">
        <v>400</v>
      </c>
      <c r="F22" s="46">
        <v>450</v>
      </c>
      <c r="G22">
        <v>450</v>
      </c>
      <c r="H22">
        <v>450</v>
      </c>
      <c r="I22">
        <v>450</v>
      </c>
      <c r="J22">
        <v>450</v>
      </c>
      <c r="K22">
        <v>450</v>
      </c>
      <c r="L22">
        <v>450</v>
      </c>
      <c r="M22">
        <v>450</v>
      </c>
      <c r="N22">
        <v>450</v>
      </c>
    </row>
    <row r="23" spans="1:14">
      <c r="A23" s="24">
        <v>3</v>
      </c>
      <c r="B23" s="29" t="s">
        <v>1</v>
      </c>
      <c r="C23" s="8">
        <v>5050</v>
      </c>
      <c r="D23" s="46">
        <v>250</v>
      </c>
      <c r="E23" s="46">
        <v>400</v>
      </c>
      <c r="F23" s="46">
        <v>400</v>
      </c>
      <c r="G23">
        <v>450</v>
      </c>
      <c r="H23">
        <v>450</v>
      </c>
      <c r="I23">
        <v>450</v>
      </c>
      <c r="J23">
        <v>450</v>
      </c>
      <c r="K23">
        <v>450</v>
      </c>
      <c r="L23">
        <v>450</v>
      </c>
      <c r="M23">
        <v>450</v>
      </c>
      <c r="N23">
        <v>450</v>
      </c>
    </row>
    <row r="24" spans="1:14">
      <c r="A24" s="24">
        <v>4</v>
      </c>
      <c r="B24" s="29" t="s">
        <v>2</v>
      </c>
      <c r="C24" s="8">
        <v>5100</v>
      </c>
      <c r="D24" s="46">
        <v>250</v>
      </c>
      <c r="E24" s="46">
        <v>400</v>
      </c>
      <c r="F24" s="46">
        <v>400</v>
      </c>
      <c r="G24">
        <v>400</v>
      </c>
      <c r="H24">
        <v>450</v>
      </c>
      <c r="I24">
        <v>450</v>
      </c>
      <c r="J24">
        <v>450</v>
      </c>
      <c r="K24">
        <v>450</v>
      </c>
      <c r="L24">
        <v>450</v>
      </c>
      <c r="M24">
        <v>450</v>
      </c>
      <c r="N24">
        <v>450</v>
      </c>
    </row>
    <row r="25" spans="1:14">
      <c r="A25" s="24">
        <v>5</v>
      </c>
      <c r="B25" s="29" t="s">
        <v>3</v>
      </c>
      <c r="C25" s="8">
        <v>5150</v>
      </c>
      <c r="D25" s="46">
        <v>250</v>
      </c>
      <c r="E25" s="46">
        <v>400</v>
      </c>
      <c r="F25" s="46">
        <v>400</v>
      </c>
      <c r="G25">
        <v>400</v>
      </c>
      <c r="H25">
        <v>400</v>
      </c>
      <c r="I25">
        <v>450</v>
      </c>
      <c r="J25">
        <v>450</v>
      </c>
      <c r="K25">
        <v>450</v>
      </c>
      <c r="L25">
        <v>450</v>
      </c>
      <c r="M25">
        <v>450</v>
      </c>
      <c r="N25">
        <v>450</v>
      </c>
    </row>
    <row r="26" spans="1:14">
      <c r="A26" s="24">
        <v>6</v>
      </c>
      <c r="B26" s="29" t="s">
        <v>3</v>
      </c>
      <c r="C26" s="8">
        <v>5200</v>
      </c>
      <c r="D26" s="46">
        <v>250</v>
      </c>
      <c r="E26" s="46">
        <v>400</v>
      </c>
      <c r="F26" s="46">
        <v>400</v>
      </c>
      <c r="G26">
        <v>400</v>
      </c>
      <c r="H26">
        <v>400</v>
      </c>
      <c r="I26">
        <v>400</v>
      </c>
      <c r="J26">
        <v>450</v>
      </c>
      <c r="K26">
        <v>450</v>
      </c>
      <c r="L26">
        <v>450</v>
      </c>
      <c r="M26">
        <v>450</v>
      </c>
      <c r="N26">
        <v>450</v>
      </c>
    </row>
    <row r="27" spans="1:14">
      <c r="A27" s="24">
        <v>7</v>
      </c>
      <c r="B27" s="29" t="s">
        <v>8</v>
      </c>
      <c r="C27" s="8">
        <v>5250</v>
      </c>
      <c r="D27" s="46">
        <v>250</v>
      </c>
      <c r="E27" s="46">
        <v>400</v>
      </c>
      <c r="F27" s="46">
        <v>400</v>
      </c>
      <c r="G27">
        <v>400</v>
      </c>
      <c r="H27">
        <v>400</v>
      </c>
      <c r="I27">
        <v>400</v>
      </c>
      <c r="J27">
        <v>400</v>
      </c>
      <c r="K27">
        <v>450</v>
      </c>
      <c r="L27">
        <v>450</v>
      </c>
      <c r="M27">
        <v>450</v>
      </c>
      <c r="N27">
        <v>450</v>
      </c>
    </row>
    <row r="28" spans="1:14">
      <c r="A28" s="24">
        <v>8</v>
      </c>
      <c r="B28" s="29" t="s">
        <v>8</v>
      </c>
      <c r="C28" s="8">
        <v>5300</v>
      </c>
      <c r="D28" s="46">
        <v>250</v>
      </c>
      <c r="E28" s="46">
        <v>400</v>
      </c>
      <c r="F28" s="46">
        <v>400</v>
      </c>
      <c r="G28">
        <v>400</v>
      </c>
      <c r="H28">
        <v>400</v>
      </c>
      <c r="I28">
        <v>400</v>
      </c>
      <c r="J28">
        <v>400</v>
      </c>
      <c r="K28">
        <v>400</v>
      </c>
      <c r="L28">
        <v>450</v>
      </c>
      <c r="M28">
        <v>450</v>
      </c>
      <c r="N28">
        <v>450</v>
      </c>
    </row>
    <row r="29" spans="1:14">
      <c r="A29" s="24">
        <v>9</v>
      </c>
      <c r="B29" s="29" t="s">
        <v>7</v>
      </c>
      <c r="C29" s="8">
        <v>5350</v>
      </c>
      <c r="D29" s="46">
        <v>250</v>
      </c>
      <c r="E29" s="46">
        <v>400</v>
      </c>
      <c r="F29" s="46">
        <v>400</v>
      </c>
      <c r="G29">
        <v>400</v>
      </c>
      <c r="H29">
        <v>400</v>
      </c>
      <c r="I29">
        <v>400</v>
      </c>
      <c r="J29">
        <v>400</v>
      </c>
      <c r="K29">
        <v>400</v>
      </c>
      <c r="L29">
        <v>400</v>
      </c>
      <c r="M29">
        <v>450</v>
      </c>
      <c r="N29">
        <v>450</v>
      </c>
    </row>
    <row r="30" spans="1:14">
      <c r="A30" s="24">
        <v>10</v>
      </c>
      <c r="B30" s="29" t="s">
        <v>9</v>
      </c>
      <c r="C30" s="8">
        <v>5400</v>
      </c>
      <c r="D30" s="46">
        <v>250</v>
      </c>
      <c r="E30" s="46">
        <v>400</v>
      </c>
      <c r="F30" s="46">
        <v>400</v>
      </c>
      <c r="G30">
        <v>400</v>
      </c>
      <c r="H30">
        <v>400</v>
      </c>
      <c r="I30">
        <v>400</v>
      </c>
      <c r="J30">
        <v>400</v>
      </c>
      <c r="K30">
        <v>400</v>
      </c>
      <c r="L30">
        <v>400</v>
      </c>
      <c r="M30">
        <v>400</v>
      </c>
      <c r="N30">
        <v>450</v>
      </c>
    </row>
    <row r="31" spans="1:14">
      <c r="A31" s="24">
        <v>11</v>
      </c>
      <c r="B31" s="10" t="s">
        <v>9</v>
      </c>
      <c r="C31" s="8">
        <v>5450</v>
      </c>
      <c r="D31" s="46">
        <v>250</v>
      </c>
      <c r="E31" s="46">
        <v>400</v>
      </c>
      <c r="F31" s="46">
        <v>400</v>
      </c>
      <c r="G31">
        <v>400</v>
      </c>
      <c r="H31">
        <v>400</v>
      </c>
      <c r="I31">
        <v>400</v>
      </c>
      <c r="J31">
        <v>400</v>
      </c>
      <c r="K31">
        <v>400</v>
      </c>
      <c r="L31">
        <v>400</v>
      </c>
      <c r="M31">
        <v>400</v>
      </c>
      <c r="N31">
        <v>400</v>
      </c>
    </row>
    <row r="32" spans="1:14">
      <c r="B32" s="29" t="s">
        <v>98</v>
      </c>
      <c r="D32" s="46"/>
      <c r="E32" s="46">
        <f t="shared" ref="E32:N32" si="2">-50</f>
        <v>-50</v>
      </c>
      <c r="F32" s="46">
        <f t="shared" si="2"/>
        <v>-50</v>
      </c>
      <c r="G32">
        <f t="shared" si="2"/>
        <v>-50</v>
      </c>
      <c r="H32">
        <f t="shared" si="2"/>
        <v>-50</v>
      </c>
      <c r="I32">
        <f t="shared" si="2"/>
        <v>-50</v>
      </c>
      <c r="J32">
        <f t="shared" si="2"/>
        <v>-50</v>
      </c>
      <c r="K32">
        <f t="shared" si="2"/>
        <v>-50</v>
      </c>
      <c r="L32">
        <f t="shared" si="2"/>
        <v>-50</v>
      </c>
      <c r="M32">
        <f t="shared" si="2"/>
        <v>-50</v>
      </c>
      <c r="N32">
        <f t="shared" si="2"/>
        <v>-50</v>
      </c>
    </row>
    <row r="33" spans="1:15">
      <c r="D33" s="46"/>
      <c r="E33" s="46"/>
      <c r="F33" s="46"/>
    </row>
    <row r="34" spans="1:15">
      <c r="B34" s="47" t="s">
        <v>99</v>
      </c>
      <c r="D34" s="52">
        <f>SUM(D21:D33)</f>
        <v>2500</v>
      </c>
      <c r="E34" s="52">
        <f>SUM(E21:E33)</f>
        <v>4950</v>
      </c>
      <c r="F34" s="52">
        <f t="shared" ref="F34" si="3">SUM(F21:F33)</f>
        <v>5000</v>
      </c>
      <c r="G34" s="53">
        <f t="shared" ref="G34" si="4">SUM(G21:G33)</f>
        <v>5050</v>
      </c>
      <c r="H34" s="53">
        <f t="shared" ref="H34" si="5">SUM(H21:H33)</f>
        <v>5100</v>
      </c>
      <c r="I34" s="53">
        <f t="shared" ref="I34" si="6">SUM(I21:I33)</f>
        <v>5150</v>
      </c>
      <c r="J34" s="53">
        <f t="shared" ref="J34" si="7">SUM(J21:J33)</f>
        <v>5200</v>
      </c>
      <c r="K34" s="53">
        <f t="shared" ref="K34" si="8">SUM(K21:K33)</f>
        <v>5250</v>
      </c>
      <c r="L34" s="53">
        <f t="shared" ref="L34" si="9">SUM(L21:L33)</f>
        <v>5300</v>
      </c>
      <c r="M34" s="53">
        <f t="shared" ref="M34" si="10">SUM(M21:M33)</f>
        <v>5350</v>
      </c>
      <c r="N34" s="53">
        <f t="shared" ref="N34" si="11">SUM(N21:N33)</f>
        <v>5400</v>
      </c>
    </row>
    <row r="35" spans="1:15">
      <c r="D35" s="3" t="s">
        <v>18</v>
      </c>
      <c r="E35" s="54" t="s">
        <v>7</v>
      </c>
      <c r="F35" s="54" t="s">
        <v>1</v>
      </c>
      <c r="G35" s="54" t="s">
        <v>2</v>
      </c>
      <c r="H35" s="54" t="s">
        <v>3</v>
      </c>
      <c r="I35" s="54" t="s">
        <v>3</v>
      </c>
      <c r="J35" s="54" t="s">
        <v>8</v>
      </c>
      <c r="K35" s="54" t="s">
        <v>8</v>
      </c>
      <c r="L35" s="54" t="s">
        <v>7</v>
      </c>
      <c r="M35" s="54" t="s">
        <v>9</v>
      </c>
      <c r="N35" s="54" t="s">
        <v>9</v>
      </c>
    </row>
    <row r="36" spans="1:15">
      <c r="D36" s="3"/>
      <c r="E36" s="54"/>
      <c r="F36" s="54"/>
      <c r="G36" s="54"/>
      <c r="H36" s="54"/>
      <c r="I36" s="54"/>
      <c r="J36" s="54"/>
      <c r="K36" s="54"/>
      <c r="L36" s="54"/>
      <c r="M36" s="54"/>
      <c r="N36" s="54"/>
    </row>
    <row r="37" spans="1:15">
      <c r="A37" s="86" t="s">
        <v>101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</row>
    <row r="38" spans="1:15">
      <c r="A38" s="80" t="s">
        <v>94</v>
      </c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50"/>
    </row>
    <row r="39" spans="1:15">
      <c r="A39" s="21" t="s">
        <v>51</v>
      </c>
      <c r="B39" s="21" t="s">
        <v>22</v>
      </c>
      <c r="C39" s="63" t="s">
        <v>47</v>
      </c>
      <c r="D39" s="76">
        <v>43031</v>
      </c>
      <c r="E39" s="73">
        <v>43038</v>
      </c>
      <c r="F39" s="73">
        <v>43045</v>
      </c>
      <c r="G39" s="73">
        <v>43052</v>
      </c>
      <c r="H39" s="74">
        <v>43059</v>
      </c>
      <c r="I39" s="74">
        <v>43066</v>
      </c>
      <c r="J39" s="74">
        <v>43073</v>
      </c>
      <c r="K39" s="51">
        <v>43080</v>
      </c>
      <c r="L39" s="51">
        <v>43087</v>
      </c>
      <c r="M39" s="51">
        <v>43094</v>
      </c>
      <c r="N39" s="51">
        <v>43101</v>
      </c>
      <c r="O39" s="50"/>
    </row>
    <row r="40" spans="1:15">
      <c r="A40" s="23">
        <v>1</v>
      </c>
      <c r="B40" s="11" t="s">
        <v>18</v>
      </c>
      <c r="C40" s="32">
        <v>15000</v>
      </c>
      <c r="D40" s="77"/>
      <c r="E40" s="68"/>
      <c r="F40" s="68"/>
      <c r="G40" s="68"/>
      <c r="H40" s="68"/>
      <c r="I40" s="68"/>
      <c r="J40" s="68"/>
      <c r="K40" s="56"/>
      <c r="L40" s="56"/>
      <c r="M40" s="56"/>
      <c r="N40" s="56"/>
      <c r="O40" s="50"/>
    </row>
    <row r="41" spans="1:15">
      <c r="A41" s="23">
        <v>2</v>
      </c>
      <c r="B41" s="49" t="s">
        <v>105</v>
      </c>
      <c r="C41" s="32">
        <v>15000</v>
      </c>
      <c r="D41" s="77">
        <v>1500</v>
      </c>
      <c r="E41" s="68">
        <v>1500</v>
      </c>
      <c r="F41" s="68">
        <v>1900</v>
      </c>
      <c r="G41" s="68">
        <v>1900</v>
      </c>
      <c r="H41" s="68">
        <v>1900</v>
      </c>
      <c r="I41" s="68">
        <v>1900</v>
      </c>
      <c r="J41" s="68">
        <v>1900</v>
      </c>
      <c r="K41" s="56">
        <v>1900</v>
      </c>
      <c r="L41" s="56">
        <v>1900</v>
      </c>
      <c r="M41" s="56">
        <v>1900</v>
      </c>
      <c r="N41" s="56">
        <v>1900</v>
      </c>
      <c r="O41" s="50"/>
    </row>
    <row r="42" spans="1:15">
      <c r="A42" s="23">
        <v>3</v>
      </c>
      <c r="B42" s="49" t="s">
        <v>106</v>
      </c>
      <c r="C42" s="32">
        <v>15050</v>
      </c>
      <c r="D42" s="77">
        <v>750</v>
      </c>
      <c r="E42" s="68">
        <v>1500</v>
      </c>
      <c r="F42" s="68">
        <v>1500</v>
      </c>
      <c r="G42" s="68">
        <v>1900</v>
      </c>
      <c r="H42" s="68">
        <v>1900</v>
      </c>
      <c r="I42" s="68">
        <v>1900</v>
      </c>
      <c r="J42" s="68">
        <v>1900</v>
      </c>
      <c r="K42" s="56">
        <v>1900</v>
      </c>
      <c r="L42" s="56">
        <v>1900</v>
      </c>
      <c r="M42" s="56">
        <v>1900</v>
      </c>
      <c r="N42" s="56">
        <v>1900</v>
      </c>
      <c r="O42" s="50"/>
    </row>
    <row r="43" spans="1:15">
      <c r="A43" s="23">
        <v>4</v>
      </c>
      <c r="B43" s="49" t="s">
        <v>107</v>
      </c>
      <c r="C43" s="32">
        <v>15100</v>
      </c>
      <c r="D43" s="77">
        <v>1500</v>
      </c>
      <c r="E43" s="68">
        <v>1500</v>
      </c>
      <c r="F43" s="68">
        <v>1500</v>
      </c>
      <c r="G43" s="68">
        <v>1500</v>
      </c>
      <c r="H43" s="68">
        <v>1900</v>
      </c>
      <c r="I43" s="68">
        <v>1900</v>
      </c>
      <c r="J43" s="68">
        <v>1900</v>
      </c>
      <c r="K43" s="56">
        <v>1900</v>
      </c>
      <c r="L43" s="56">
        <v>1900</v>
      </c>
      <c r="M43" s="56">
        <v>1900</v>
      </c>
      <c r="N43" s="56">
        <v>1900</v>
      </c>
      <c r="O43" s="50"/>
    </row>
    <row r="44" spans="1:15">
      <c r="A44" s="23">
        <v>5</v>
      </c>
      <c r="B44" s="49" t="s">
        <v>96</v>
      </c>
      <c r="C44" s="32">
        <v>15150</v>
      </c>
      <c r="D44" s="77">
        <v>0</v>
      </c>
      <c r="E44" s="68">
        <v>1500</v>
      </c>
      <c r="F44" s="68">
        <v>1500</v>
      </c>
      <c r="G44" s="68">
        <v>1500</v>
      </c>
      <c r="H44" s="68">
        <v>1500</v>
      </c>
      <c r="I44" s="68">
        <v>1900</v>
      </c>
      <c r="J44" s="68">
        <v>1900</v>
      </c>
      <c r="K44" s="56">
        <v>1900</v>
      </c>
      <c r="L44" s="56">
        <v>1900</v>
      </c>
      <c r="M44" s="56">
        <v>1900</v>
      </c>
      <c r="N44" s="56">
        <v>1900</v>
      </c>
      <c r="O44" s="50"/>
    </row>
    <row r="45" spans="1:15">
      <c r="A45" s="23">
        <v>6</v>
      </c>
      <c r="B45" s="49" t="s">
        <v>108</v>
      </c>
      <c r="C45" s="32">
        <v>15200</v>
      </c>
      <c r="D45" s="77">
        <v>750</v>
      </c>
      <c r="E45" s="68">
        <v>1500</v>
      </c>
      <c r="F45" s="68">
        <v>1500</v>
      </c>
      <c r="G45" s="68">
        <v>1500</v>
      </c>
      <c r="H45" s="68">
        <v>1500</v>
      </c>
      <c r="I45" s="68">
        <v>1500</v>
      </c>
      <c r="J45" s="68">
        <v>1900</v>
      </c>
      <c r="K45" s="56">
        <v>1900</v>
      </c>
      <c r="L45" s="56">
        <v>1900</v>
      </c>
      <c r="M45" s="56">
        <v>1900</v>
      </c>
      <c r="N45" s="56">
        <v>1900</v>
      </c>
      <c r="O45" s="50"/>
    </row>
    <row r="46" spans="1:15">
      <c r="A46" s="23">
        <v>7</v>
      </c>
      <c r="B46" s="49" t="s">
        <v>96</v>
      </c>
      <c r="C46" s="32">
        <v>15250</v>
      </c>
      <c r="D46" s="77">
        <v>0</v>
      </c>
      <c r="E46" s="68">
        <v>1500</v>
      </c>
      <c r="F46" s="68">
        <v>1500</v>
      </c>
      <c r="G46" s="68">
        <v>1500</v>
      </c>
      <c r="H46" s="68">
        <v>1500</v>
      </c>
      <c r="I46" s="68">
        <v>1500</v>
      </c>
      <c r="J46" s="68">
        <v>1500</v>
      </c>
      <c r="K46" s="56">
        <v>1900</v>
      </c>
      <c r="L46" s="56">
        <v>1900</v>
      </c>
      <c r="M46" s="56">
        <v>1900</v>
      </c>
      <c r="N46" s="56">
        <v>1900</v>
      </c>
      <c r="O46" s="50"/>
    </row>
    <row r="47" spans="1:15">
      <c r="A47" s="23">
        <v>8</v>
      </c>
      <c r="B47" s="49" t="s">
        <v>109</v>
      </c>
      <c r="C47" s="32">
        <v>15300</v>
      </c>
      <c r="D47" s="77">
        <v>1500</v>
      </c>
      <c r="E47" s="68">
        <v>1500</v>
      </c>
      <c r="F47" s="68">
        <v>1500</v>
      </c>
      <c r="G47" s="68">
        <v>1500</v>
      </c>
      <c r="H47" s="68">
        <v>1500</v>
      </c>
      <c r="I47" s="68">
        <v>1500</v>
      </c>
      <c r="J47" s="68">
        <v>1500</v>
      </c>
      <c r="K47" s="56">
        <v>1500</v>
      </c>
      <c r="L47" s="56">
        <v>1900</v>
      </c>
      <c r="M47" s="56">
        <v>1900</v>
      </c>
      <c r="N47" s="56">
        <v>1900</v>
      </c>
      <c r="O47" s="50"/>
    </row>
    <row r="48" spans="1:15">
      <c r="A48" s="23">
        <v>9</v>
      </c>
      <c r="B48" s="49" t="s">
        <v>110</v>
      </c>
      <c r="C48" s="32">
        <v>15350</v>
      </c>
      <c r="D48" s="77">
        <v>1500</v>
      </c>
      <c r="E48" s="68">
        <v>1500</v>
      </c>
      <c r="F48" s="68">
        <v>1500</v>
      </c>
      <c r="G48" s="68">
        <v>1500</v>
      </c>
      <c r="H48" s="68">
        <v>1500</v>
      </c>
      <c r="I48" s="68">
        <v>1500</v>
      </c>
      <c r="J48" s="68">
        <v>1500</v>
      </c>
      <c r="K48" s="56">
        <v>1500</v>
      </c>
      <c r="L48" s="56">
        <v>1500</v>
      </c>
      <c r="M48" s="56">
        <v>1900</v>
      </c>
      <c r="N48" s="56">
        <v>1900</v>
      </c>
      <c r="O48" s="50"/>
    </row>
    <row r="49" spans="1:14">
      <c r="A49" s="23">
        <v>10</v>
      </c>
      <c r="B49" s="49" t="s">
        <v>111</v>
      </c>
      <c r="C49" s="32">
        <v>15400</v>
      </c>
      <c r="D49" s="77">
        <v>0</v>
      </c>
      <c r="E49" s="68">
        <v>1500</v>
      </c>
      <c r="F49" s="68">
        <v>1500</v>
      </c>
      <c r="G49" s="68">
        <v>1500</v>
      </c>
      <c r="H49" s="68">
        <v>1500</v>
      </c>
      <c r="I49" s="68">
        <v>1500</v>
      </c>
      <c r="J49" s="68">
        <v>1500</v>
      </c>
      <c r="K49" s="56">
        <v>1500</v>
      </c>
      <c r="L49" s="56">
        <v>1500</v>
      </c>
      <c r="M49" s="56">
        <v>1500</v>
      </c>
      <c r="N49" s="56">
        <v>1900</v>
      </c>
    </row>
    <row r="50" spans="1:14">
      <c r="A50" s="23">
        <v>11</v>
      </c>
      <c r="B50" s="10" t="s">
        <v>111</v>
      </c>
      <c r="C50" s="32">
        <v>15450</v>
      </c>
      <c r="D50" s="77">
        <v>0</v>
      </c>
      <c r="E50" s="68">
        <v>1500</v>
      </c>
      <c r="F50" s="68">
        <v>1500</v>
      </c>
      <c r="G50" s="68">
        <v>1500</v>
      </c>
      <c r="H50" s="68">
        <v>1500</v>
      </c>
      <c r="I50" s="68">
        <v>1500</v>
      </c>
      <c r="J50" s="68">
        <v>1500</v>
      </c>
      <c r="K50" s="56">
        <v>1500</v>
      </c>
      <c r="L50" s="56">
        <v>1500</v>
      </c>
      <c r="M50" s="56">
        <v>1500</v>
      </c>
      <c r="N50" s="56">
        <v>1500</v>
      </c>
    </row>
    <row r="51" spans="1:14">
      <c r="A51" s="23">
        <v>12</v>
      </c>
      <c r="B51" s="10"/>
      <c r="C51" s="32"/>
      <c r="D51" s="77"/>
      <c r="E51" s="68"/>
      <c r="F51" s="68"/>
      <c r="G51" s="68"/>
      <c r="H51" s="68"/>
      <c r="I51" s="68"/>
      <c r="J51" s="68"/>
      <c r="K51" s="56"/>
      <c r="L51" s="56"/>
      <c r="M51" s="56"/>
      <c r="N51" s="56"/>
    </row>
    <row r="52" spans="1:14">
      <c r="A52" s="23">
        <v>13</v>
      </c>
      <c r="B52" s="10"/>
      <c r="C52" s="32"/>
      <c r="D52" s="77"/>
      <c r="E52" s="68"/>
      <c r="F52" s="68"/>
      <c r="G52" s="68"/>
      <c r="H52" s="68"/>
      <c r="I52" s="68"/>
      <c r="J52" s="68"/>
      <c r="K52" s="56"/>
      <c r="L52" s="56"/>
      <c r="M52" s="56"/>
      <c r="N52" s="56"/>
    </row>
    <row r="53" spans="1:14">
      <c r="A53" s="23">
        <v>14</v>
      </c>
      <c r="B53" s="10"/>
      <c r="C53" s="32"/>
      <c r="D53" s="77"/>
      <c r="E53" s="68"/>
      <c r="F53" s="68"/>
      <c r="G53" s="68"/>
      <c r="H53" s="68"/>
      <c r="I53" s="68"/>
      <c r="J53" s="68"/>
      <c r="K53" s="56"/>
      <c r="L53" s="56"/>
      <c r="M53" s="56"/>
      <c r="N53" s="56"/>
    </row>
    <row r="54" spans="1:14">
      <c r="A54" s="23">
        <v>15</v>
      </c>
      <c r="B54" s="10"/>
      <c r="C54" s="32"/>
      <c r="D54" s="77"/>
      <c r="E54" s="68"/>
      <c r="F54" s="68"/>
      <c r="G54" s="68"/>
      <c r="H54" s="68"/>
      <c r="I54" s="68"/>
      <c r="J54" s="68"/>
      <c r="K54" s="56"/>
      <c r="L54" s="56"/>
      <c r="M54" s="56"/>
      <c r="N54" s="56"/>
    </row>
    <row r="55" spans="1:14">
      <c r="A55" s="23">
        <v>16</v>
      </c>
      <c r="B55" s="10"/>
      <c r="C55" s="32"/>
      <c r="D55" s="77"/>
      <c r="E55" s="68"/>
      <c r="F55" s="68"/>
      <c r="G55" s="68"/>
      <c r="H55" s="68"/>
      <c r="I55" s="68"/>
      <c r="J55" s="68"/>
      <c r="K55" s="56"/>
      <c r="L55" s="56"/>
      <c r="M55" s="56"/>
      <c r="N55" s="56"/>
    </row>
    <row r="56" spans="1:14">
      <c r="A56" s="23">
        <v>17</v>
      </c>
      <c r="B56" s="10"/>
      <c r="C56" s="32"/>
      <c r="D56" s="77"/>
      <c r="E56" s="68"/>
      <c r="F56" s="68"/>
      <c r="G56" s="68"/>
      <c r="H56" s="68"/>
      <c r="I56" s="68"/>
      <c r="J56" s="68"/>
      <c r="K56" s="56"/>
      <c r="L56" s="56"/>
      <c r="M56" s="56"/>
      <c r="N56" s="56"/>
    </row>
    <row r="57" spans="1:14">
      <c r="A57" s="23">
        <v>18</v>
      </c>
      <c r="B57" s="10"/>
      <c r="C57" s="32"/>
      <c r="D57" s="77"/>
      <c r="E57" s="68"/>
      <c r="F57" s="68"/>
      <c r="G57" s="68"/>
      <c r="H57" s="68"/>
      <c r="I57" s="68"/>
      <c r="J57" s="68"/>
      <c r="K57" s="56"/>
      <c r="L57" s="56"/>
      <c r="M57" s="56"/>
      <c r="N57" s="56"/>
    </row>
    <row r="58" spans="1:14">
      <c r="A58" s="23">
        <v>19</v>
      </c>
      <c r="B58" s="10"/>
      <c r="C58" s="32"/>
      <c r="D58" s="77"/>
      <c r="E58" s="68"/>
      <c r="F58" s="68"/>
      <c r="G58" s="68"/>
      <c r="H58" s="68"/>
      <c r="I58" s="68"/>
      <c r="J58" s="68"/>
      <c r="K58" s="56"/>
      <c r="L58" s="56"/>
      <c r="M58" s="56"/>
      <c r="N58" s="56"/>
    </row>
    <row r="59" spans="1:14">
      <c r="A59" s="23">
        <v>20</v>
      </c>
      <c r="B59" s="10"/>
      <c r="C59" s="32"/>
      <c r="D59" s="77"/>
      <c r="E59" s="68"/>
      <c r="F59" s="68"/>
      <c r="G59" s="68"/>
      <c r="H59" s="68"/>
      <c r="I59" s="68"/>
      <c r="J59" s="68"/>
      <c r="K59" s="56"/>
      <c r="L59" s="56"/>
      <c r="M59" s="56"/>
      <c r="N59" s="56"/>
    </row>
    <row r="60" spans="1:14">
      <c r="B60" s="29" t="s">
        <v>98</v>
      </c>
      <c r="C60" s="4"/>
      <c r="D60" s="78"/>
      <c r="E60" s="69">
        <v>0</v>
      </c>
      <c r="F60" s="69">
        <v>0</v>
      </c>
      <c r="G60" s="69">
        <v>0</v>
      </c>
      <c r="H60" s="4">
        <v>0</v>
      </c>
      <c r="I60" s="4">
        <v>0</v>
      </c>
      <c r="J60" s="4">
        <v>0</v>
      </c>
      <c r="K60">
        <v>0</v>
      </c>
      <c r="L60">
        <v>0</v>
      </c>
      <c r="M60">
        <v>0</v>
      </c>
      <c r="N60">
        <v>0</v>
      </c>
    </row>
    <row r="61" spans="1:14">
      <c r="C61" s="4"/>
      <c r="D61" s="78"/>
      <c r="E61" s="69"/>
      <c r="F61" s="69"/>
      <c r="G61" s="69"/>
      <c r="H61" s="4"/>
      <c r="I61" s="4"/>
      <c r="J61" s="4"/>
    </row>
    <row r="62" spans="1:14">
      <c r="B62" s="47" t="s">
        <v>100</v>
      </c>
      <c r="C62" s="4"/>
      <c r="D62" s="79">
        <f>SUM(D40:D61)</f>
        <v>7500</v>
      </c>
      <c r="E62" s="70">
        <f>SUM(E40:E61)</f>
        <v>15000</v>
      </c>
      <c r="F62" s="70">
        <f t="shared" ref="F62:N62" si="12">SUM(F40:F61)</f>
        <v>15400</v>
      </c>
      <c r="G62" s="70">
        <f t="shared" si="12"/>
        <v>15800</v>
      </c>
      <c r="H62" s="71">
        <f t="shared" si="12"/>
        <v>16200</v>
      </c>
      <c r="I62" s="71">
        <f t="shared" si="12"/>
        <v>16600</v>
      </c>
      <c r="J62" s="71">
        <f t="shared" si="12"/>
        <v>17000</v>
      </c>
      <c r="K62" s="53">
        <f t="shared" si="12"/>
        <v>17400</v>
      </c>
      <c r="L62" s="53">
        <f t="shared" si="12"/>
        <v>17800</v>
      </c>
      <c r="M62" s="53">
        <f t="shared" si="12"/>
        <v>18200</v>
      </c>
      <c r="N62" s="53">
        <f t="shared" si="12"/>
        <v>18600</v>
      </c>
    </row>
    <row r="63" spans="1:14">
      <c r="C63" s="4"/>
      <c r="D63" s="77" t="s">
        <v>18</v>
      </c>
      <c r="E63" s="72" t="s">
        <v>105</v>
      </c>
      <c r="F63" s="72" t="s">
        <v>106</v>
      </c>
      <c r="G63" s="72" t="s">
        <v>107</v>
      </c>
      <c r="H63" s="72" t="s">
        <v>96</v>
      </c>
      <c r="I63" s="72" t="s">
        <v>108</v>
      </c>
      <c r="J63" s="72" t="s">
        <v>96</v>
      </c>
      <c r="K63" s="54" t="s">
        <v>109</v>
      </c>
      <c r="L63" s="54" t="s">
        <v>110</v>
      </c>
      <c r="M63" s="54" t="s">
        <v>111</v>
      </c>
      <c r="N63" s="54" t="s">
        <v>111</v>
      </c>
    </row>
  </sheetData>
  <mergeCells count="4">
    <mergeCell ref="A1:C1"/>
    <mergeCell ref="A19:C19"/>
    <mergeCell ref="A37:N37"/>
    <mergeCell ref="A38:N3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Members!$A$3:$A$500</xm:f>
          </x14:formula1>
          <xm:sqref>B4:B13 B22:B31 B41:B59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K34" sqref="K34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ปลดหนี้</vt:lpstr>
      <vt:lpstr>Members</vt:lpstr>
      <vt:lpstr>คำนวน</vt:lpstr>
      <vt:lpstr>รวมวงแชร์</vt:lpstr>
      <vt:lpstr>Pivottable</vt:lpstr>
      <vt:lpstr>เจ้าหนี้</vt:lpstr>
      <vt:lpstr>รวม (แขก)</vt:lpstr>
      <vt:lpstr>ลูกแชร์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2017-10-21T02:25:09Z</dcterms:created>
  <dcterms:modified xsi:type="dcterms:W3CDTF">2019-06-27T13:38:43Z</dcterms:modified>
</cp:coreProperties>
</file>